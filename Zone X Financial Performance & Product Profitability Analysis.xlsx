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B083B04B-D3B4-4921-BC28-90DBB7050F92}" xr6:coauthVersionLast="47" xr6:coauthVersionMax="47" xr10:uidLastSave="{00000000-0000-0000-0000-000000000000}"/>
  <bookViews>
    <workbookView xWindow="-110" yWindow="-110" windowWidth="19420" windowHeight="10300" firstSheet="2" activeTab="5" xr2:uid="{00000000-000D-0000-FFFF-FFFF00000000}"/>
  </bookViews>
  <sheets>
    <sheet name="Messy Financial Data" sheetId="1" r:id="rId1"/>
    <sheet name="Cleaned Data" sheetId="3" r:id="rId2"/>
    <sheet name="Dashboard 2 Data" sheetId="7" r:id="rId3"/>
    <sheet name="Pivot Sheet" sheetId="4" r:id="rId4"/>
    <sheet name="Financial Performance " sheetId="5" r:id="rId5"/>
    <sheet name="Product &amp; Profitability" sheetId="6" r:id="rId6"/>
  </sheets>
  <definedNames>
    <definedName name="Slicer_Financial_Year">#N/A</definedName>
    <definedName name="Slicer_Product">#N/A</definedName>
    <definedName name="Slicer_Product1">#N/A</definedName>
  </definedNames>
  <calcPr calcId="191029"/>
  <pivotCaches>
    <pivotCache cacheId="2" r:id="rId7"/>
    <pivotCache cacheId="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0" i="4" l="1"/>
  <c r="V13" i="6"/>
  <c r="G26" i="4"/>
  <c r="B26" i="4"/>
  <c r="V26" i="4"/>
  <c r="V25" i="4"/>
  <c r="V24" i="4"/>
  <c r="U3" i="4"/>
  <c r="M8" i="4"/>
  <c r="M7" i="4"/>
  <c r="U5" i="4"/>
  <c r="U4" i="4"/>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88" i="3"/>
  <c r="H89" i="3"/>
  <c r="H90" i="3"/>
  <c r="H91" i="3"/>
  <c r="H92"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H2" i="3"/>
  <c r="H3" i="3"/>
  <c r="H4" i="3"/>
  <c r="H5" i="3"/>
  <c r="H6" i="3"/>
  <c r="H7" i="3"/>
  <c r="H8" i="3"/>
  <c r="H9" i="3"/>
  <c r="C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B2"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84" i="3"/>
  <c r="B85" i="3"/>
  <c r="B86" i="3"/>
  <c r="B87" i="3"/>
  <c r="B88" i="3"/>
  <c r="B89" i="3"/>
  <c r="B90" i="3"/>
  <c r="B91" i="3"/>
  <c r="B92" i="3"/>
  <c r="B93" i="3"/>
  <c r="B94" i="3"/>
  <c r="B95" i="3"/>
  <c r="B96" i="3"/>
  <c r="B97" i="3"/>
  <c r="B98" i="3"/>
  <c r="B99" i="3"/>
  <c r="B100" i="3"/>
  <c r="B101" i="3"/>
  <c r="B42" i="3"/>
  <c r="B43" i="3"/>
  <c r="B44" i="3"/>
  <c r="B45" i="3"/>
  <c r="B46" i="3"/>
  <c r="B47" i="3"/>
  <c r="B48" i="3"/>
  <c r="B49" i="3"/>
  <c r="B50" i="3"/>
  <c r="B51" i="3"/>
  <c r="B52" i="3"/>
  <c r="B53" i="3"/>
  <c r="B54" i="3"/>
  <c r="B55" i="3"/>
  <c r="B56" i="3"/>
  <c r="B57" i="3"/>
  <c r="B58" i="3"/>
  <c r="B59" i="3"/>
  <c r="B60" i="3"/>
  <c r="B6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232" i="3"/>
  <c r="B233" i="3"/>
  <c r="B234" i="3"/>
  <c r="B235" i="3"/>
  <c r="B236" i="3"/>
  <c r="B237" i="3"/>
  <c r="B238" i="3"/>
  <c r="B239" i="3"/>
  <c r="B240" i="3"/>
  <c r="B241" i="3"/>
  <c r="B242" i="3"/>
  <c r="B243" i="3"/>
  <c r="B244" i="3"/>
  <c r="B245" i="3"/>
  <c r="B246" i="3"/>
  <c r="B247" i="3"/>
  <c r="B248" i="3"/>
  <c r="B249" i="3"/>
  <c r="B250"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62" i="3"/>
  <c r="B63" i="3"/>
  <c r="B64" i="3"/>
  <c r="B65" i="3"/>
  <c r="B66" i="3"/>
  <c r="B67" i="3"/>
  <c r="B68" i="3"/>
  <c r="B69" i="3"/>
  <c r="B70" i="3"/>
  <c r="B71" i="3"/>
  <c r="B72" i="3"/>
  <c r="B73" i="3"/>
  <c r="B74" i="3"/>
  <c r="B75" i="3"/>
  <c r="B76" i="3"/>
  <c r="B77" i="3"/>
  <c r="B78" i="3"/>
  <c r="B79" i="3"/>
  <c r="B80" i="3"/>
  <c r="B81" i="3"/>
  <c r="B82" i="3"/>
  <c r="B83" i="3"/>
  <c r="A197" i="3"/>
  <c r="A198" i="3"/>
  <c r="A143" i="3"/>
  <c r="A176" i="3"/>
  <c r="A177" i="3"/>
  <c r="A123" i="3"/>
  <c r="A84" i="3"/>
  <c r="A124" i="3"/>
  <c r="A2" i="3"/>
  <c r="A27" i="3"/>
  <c r="A42" i="3"/>
  <c r="A102" i="3"/>
  <c r="A232" i="3"/>
  <c r="A62" i="3"/>
  <c r="A178" i="3"/>
  <c r="A144" i="3"/>
  <c r="A103" i="3"/>
  <c r="A104" i="3"/>
  <c r="A179" i="3"/>
  <c r="A85" i="3"/>
  <c r="A86" i="3"/>
  <c r="A63" i="3"/>
  <c r="A125" i="3"/>
  <c r="A233" i="3"/>
  <c r="A234" i="3"/>
  <c r="A3" i="3"/>
  <c r="A126" i="3"/>
  <c r="A199" i="3"/>
  <c r="A145" i="3"/>
  <c r="A4" i="3"/>
  <c r="A105" i="3"/>
  <c r="A180" i="3"/>
  <c r="A200" i="3"/>
  <c r="A106" i="3"/>
  <c r="A235" i="3"/>
  <c r="A64" i="3"/>
  <c r="A87" i="3"/>
  <c r="A146" i="3"/>
  <c r="A147" i="3"/>
  <c r="A107" i="3"/>
  <c r="A88" i="3"/>
  <c r="A201" i="3"/>
  <c r="A43" i="3"/>
  <c r="A5" i="3"/>
  <c r="A108" i="3"/>
  <c r="A148" i="3"/>
  <c r="A236" i="3"/>
  <c r="A149" i="3"/>
  <c r="A127" i="3"/>
  <c r="A150" i="3"/>
  <c r="A44" i="3"/>
  <c r="A89" i="3"/>
  <c r="A202" i="3"/>
  <c r="A151" i="3"/>
  <c r="A216" i="3"/>
  <c r="A90" i="3"/>
  <c r="A28" i="3"/>
  <c r="A29" i="3"/>
  <c r="A109" i="3"/>
  <c r="A30" i="3"/>
  <c r="A45" i="3"/>
  <c r="A31" i="3"/>
  <c r="A237" i="3"/>
  <c r="A110" i="3"/>
  <c r="A111" i="3"/>
  <c r="A65" i="3"/>
  <c r="A152" i="3"/>
  <c r="A153" i="3"/>
  <c r="A217" i="3"/>
  <c r="A66" i="3"/>
  <c r="A154" i="3"/>
  <c r="A128" i="3"/>
  <c r="A46" i="3"/>
  <c r="A238" i="3"/>
  <c r="A6" i="3"/>
  <c r="A112" i="3"/>
  <c r="A47" i="3"/>
  <c r="A113" i="3"/>
  <c r="A155" i="3"/>
  <c r="A239" i="3"/>
  <c r="A181" i="3"/>
  <c r="A203" i="3"/>
  <c r="A218" i="3"/>
  <c r="A156" i="3"/>
  <c r="A204" i="3"/>
  <c r="A129" i="3"/>
  <c r="A7" i="3"/>
  <c r="A48" i="3"/>
  <c r="A91" i="3"/>
  <c r="A8" i="3"/>
  <c r="A130" i="3"/>
  <c r="A114" i="3"/>
  <c r="A240" i="3"/>
  <c r="A92" i="3"/>
  <c r="A93" i="3"/>
  <c r="A49" i="3"/>
  <c r="A219" i="3"/>
  <c r="A182" i="3"/>
  <c r="A94" i="3"/>
  <c r="A67" i="3"/>
  <c r="A115" i="3"/>
  <c r="A157" i="3"/>
  <c r="A183" i="3"/>
  <c r="A68" i="3"/>
  <c r="A32" i="3"/>
  <c r="A9" i="3"/>
  <c r="A50" i="3"/>
  <c r="A205" i="3"/>
  <c r="A206" i="3"/>
  <c r="A184" i="3"/>
  <c r="A51" i="3"/>
  <c r="A10" i="3"/>
  <c r="A220" i="3"/>
  <c r="A131" i="3"/>
  <c r="A11" i="3"/>
  <c r="A185" i="3"/>
  <c r="A95" i="3"/>
  <c r="A207" i="3"/>
  <c r="A12" i="3"/>
  <c r="A96" i="3"/>
  <c r="A208" i="3"/>
  <c r="A132" i="3"/>
  <c r="A221" i="3"/>
  <c r="A33" i="3"/>
  <c r="A34" i="3"/>
  <c r="A69" i="3"/>
  <c r="A70" i="3"/>
  <c r="A13" i="3"/>
  <c r="A116" i="3"/>
  <c r="A186" i="3"/>
  <c r="A187" i="3"/>
  <c r="A14" i="3"/>
  <c r="A52" i="3"/>
  <c r="A158" i="3"/>
  <c r="A188" i="3"/>
  <c r="A189" i="3"/>
  <c r="A133" i="3"/>
  <c r="A241" i="3"/>
  <c r="A117" i="3"/>
  <c r="A134" i="3"/>
  <c r="A35" i="3"/>
  <c r="A242" i="3"/>
  <c r="A159" i="3"/>
  <c r="A160" i="3"/>
  <c r="A15" i="3"/>
  <c r="A243" i="3"/>
  <c r="A190" i="3"/>
  <c r="A244" i="3"/>
  <c r="A222" i="3"/>
  <c r="A209" i="3"/>
  <c r="A53" i="3"/>
  <c r="A223" i="3"/>
  <c r="A161" i="3"/>
  <c r="A162" i="3"/>
  <c r="A118" i="3"/>
  <c r="A163" i="3"/>
  <c r="A164" i="3"/>
  <c r="A54" i="3"/>
  <c r="A55" i="3"/>
  <c r="A71" i="3"/>
  <c r="A135" i="3"/>
  <c r="A36" i="3"/>
  <c r="A56" i="3"/>
  <c r="A245" i="3"/>
  <c r="A72" i="3"/>
  <c r="A165" i="3"/>
  <c r="A73" i="3"/>
  <c r="A16" i="3"/>
  <c r="A74" i="3"/>
  <c r="A57" i="3"/>
  <c r="A136" i="3"/>
  <c r="A191" i="3"/>
  <c r="A210" i="3"/>
  <c r="A166" i="3"/>
  <c r="A75" i="3"/>
  <c r="A17" i="3"/>
  <c r="A167" i="3"/>
  <c r="A137" i="3"/>
  <c r="A58" i="3"/>
  <c r="A18" i="3"/>
  <c r="A19" i="3"/>
  <c r="A76" i="3"/>
  <c r="A168" i="3"/>
  <c r="A20" i="3"/>
  <c r="A224" i="3"/>
  <c r="A21" i="3"/>
  <c r="A22" i="3"/>
  <c r="A77" i="3"/>
  <c r="A138" i="3"/>
  <c r="A225" i="3"/>
  <c r="A37" i="3"/>
  <c r="A211" i="3"/>
  <c r="A139" i="3"/>
  <c r="A119" i="3"/>
  <c r="A140" i="3"/>
  <c r="A226" i="3"/>
  <c r="A78" i="3"/>
  <c r="A59" i="3"/>
  <c r="A120" i="3"/>
  <c r="A227" i="3"/>
  <c r="A38" i="3"/>
  <c r="A97" i="3"/>
  <c r="A79" i="3"/>
  <c r="A141" i="3"/>
  <c r="A228" i="3"/>
  <c r="A229" i="3"/>
  <c r="A169" i="3"/>
  <c r="A192" i="3"/>
  <c r="A170" i="3"/>
  <c r="A212" i="3"/>
  <c r="A246" i="3"/>
  <c r="A171" i="3"/>
  <c r="A213" i="3"/>
  <c r="A172" i="3"/>
  <c r="A247" i="3"/>
  <c r="A121" i="3"/>
  <c r="A80" i="3"/>
  <c r="A173" i="3"/>
  <c r="A193" i="3"/>
  <c r="A60" i="3"/>
  <c r="A81" i="3"/>
  <c r="A248" i="3"/>
  <c r="A61" i="3"/>
  <c r="A249" i="3"/>
  <c r="A98" i="3"/>
  <c r="A23" i="3"/>
  <c r="A194" i="3"/>
  <c r="A24" i="3"/>
  <c r="A25" i="3"/>
  <c r="A122" i="3"/>
  <c r="A230" i="3"/>
  <c r="A99" i="3"/>
  <c r="A174" i="3"/>
  <c r="A39" i="3"/>
  <c r="A82" i="3"/>
  <c r="A100" i="3"/>
  <c r="A175" i="3"/>
  <c r="A214" i="3"/>
  <c r="A26" i="3"/>
  <c r="A83" i="3"/>
  <c r="A195" i="3"/>
  <c r="A196" i="3"/>
  <c r="A142" i="3"/>
  <c r="A231" i="3"/>
  <c r="A40" i="3"/>
  <c r="A101" i="3"/>
  <c r="A215" i="3"/>
  <c r="A41" i="3"/>
  <c r="A250" i="3"/>
  <c r="V28" i="4" l="1"/>
  <c r="V27" i="4"/>
  <c r="U7" i="4"/>
  <c r="M9" i="4"/>
  <c r="U6" i="4"/>
</calcChain>
</file>

<file path=xl/sharedStrings.xml><?xml version="1.0" encoding="utf-8"?>
<sst xmlns="http://schemas.openxmlformats.org/spreadsheetml/2006/main" count="1972" uniqueCount="348">
  <si>
    <t>Month</t>
  </si>
  <si>
    <t>Product</t>
  </si>
  <si>
    <t>Revenue</t>
  </si>
  <si>
    <t>Expenses</t>
  </si>
  <si>
    <t>Profit</t>
  </si>
  <si>
    <t>Date</t>
  </si>
  <si>
    <t>Financial Year</t>
  </si>
  <si>
    <t>August</t>
  </si>
  <si>
    <t xml:space="preserve"> Zen T-shirt </t>
  </si>
  <si>
    <t>10/27/2024</t>
  </si>
  <si>
    <t>May</t>
  </si>
  <si>
    <t>Asobe Shirt</t>
  </si>
  <si>
    <t>04-Oct-2025</t>
  </si>
  <si>
    <t>March</t>
  </si>
  <si>
    <t>08/08/2024</t>
  </si>
  <si>
    <t>February</t>
  </si>
  <si>
    <t>15/09/2025</t>
  </si>
  <si>
    <t xml:space="preserve"> February </t>
  </si>
  <si>
    <t>03/09/2025</t>
  </si>
  <si>
    <t>January</t>
  </si>
  <si>
    <t>15 July 2024</t>
  </si>
  <si>
    <t>September</t>
  </si>
  <si>
    <t>12,433,378.00</t>
  </si>
  <si>
    <t>10/05/2025</t>
  </si>
  <si>
    <t>July</t>
  </si>
  <si>
    <t>Zen T-shirt</t>
  </si>
  <si>
    <t>6,659,621.00</t>
  </si>
  <si>
    <t>5,718,412.00</t>
  </si>
  <si>
    <t>941,209.00</t>
  </si>
  <si>
    <t>2025/07/06</t>
  </si>
  <si>
    <t>November</t>
  </si>
  <si>
    <t>01/24/2025</t>
  </si>
  <si>
    <t>27-Feb-2024</t>
  </si>
  <si>
    <t>December</t>
  </si>
  <si>
    <t>9,516,586.00</t>
  </si>
  <si>
    <t>1,415,996.00</t>
  </si>
  <si>
    <t>21-Mar-2024</t>
  </si>
  <si>
    <t>03-Jun-2025</t>
  </si>
  <si>
    <t>October</t>
  </si>
  <si>
    <t>zen t-shirt</t>
  </si>
  <si>
    <t>19 December 2025</t>
  </si>
  <si>
    <t>03/04/2024</t>
  </si>
  <si>
    <t>27/09/2024</t>
  </si>
  <si>
    <t>june</t>
  </si>
  <si>
    <t>9,166,769.00</t>
  </si>
  <si>
    <t>07-Aug-2024</t>
  </si>
  <si>
    <t>03/06/2024</t>
  </si>
  <si>
    <t>June</t>
  </si>
  <si>
    <t>01/06/2025</t>
  </si>
  <si>
    <t>09/26/2024</t>
  </si>
  <si>
    <t>April</t>
  </si>
  <si>
    <t xml:space="preserve"> 06/05/2024 </t>
  </si>
  <si>
    <t>2,093,322.00</t>
  </si>
  <si>
    <t>846,252.00</t>
  </si>
  <si>
    <t>22-May-2024</t>
  </si>
  <si>
    <t xml:space="preserve"> August </t>
  </si>
  <si>
    <t>18 April 2025</t>
  </si>
  <si>
    <t>07/16/2025</t>
  </si>
  <si>
    <t>25 December 2025</t>
  </si>
  <si>
    <t>29/12/2024</t>
  </si>
  <si>
    <t>06/01/2025</t>
  </si>
  <si>
    <t>3,115,955.00</t>
  </si>
  <si>
    <t>28 July 2025</t>
  </si>
  <si>
    <t xml:space="preserve"> 10/18/2025 </t>
  </si>
  <si>
    <t>17,772,619.00</t>
  </si>
  <si>
    <t>2025/08/27</t>
  </si>
  <si>
    <t xml:space="preserve"> 20 January 2024 </t>
  </si>
  <si>
    <t>13 June 2025</t>
  </si>
  <si>
    <t xml:space="preserve"> Asobe Shirt </t>
  </si>
  <si>
    <t>03/09/2024</t>
  </si>
  <si>
    <t xml:space="preserve"> 11/10/2024 </t>
  </si>
  <si>
    <t>november</t>
  </si>
  <si>
    <t>5,468,428.00</t>
  </si>
  <si>
    <t>06/27/2025</t>
  </si>
  <si>
    <t>ZEN T-SHIRT</t>
  </si>
  <si>
    <t>05/12/2025</t>
  </si>
  <si>
    <t xml:space="preserve"> 09/04/2025 </t>
  </si>
  <si>
    <t>01/05/2025</t>
  </si>
  <si>
    <t>08 March 2024</t>
  </si>
  <si>
    <t>8,109,917.00</t>
  </si>
  <si>
    <t>01/08/2025</t>
  </si>
  <si>
    <t xml:space="preserve"> July </t>
  </si>
  <si>
    <t>2024/05/11</t>
  </si>
  <si>
    <t>2025/10/16</t>
  </si>
  <si>
    <t>05-Mar-2025</t>
  </si>
  <si>
    <t>12/06/2024</t>
  </si>
  <si>
    <t>25/08/2025</t>
  </si>
  <si>
    <t>12 december 2024</t>
  </si>
  <si>
    <t>september</t>
  </si>
  <si>
    <t>3,398,230.00</t>
  </si>
  <si>
    <t>12-Aug-2024</t>
  </si>
  <si>
    <t>february</t>
  </si>
  <si>
    <t>2025/07/05</t>
  </si>
  <si>
    <t>14 March 2024</t>
  </si>
  <si>
    <t>08/05/2024</t>
  </si>
  <si>
    <t>10/27/2025</t>
  </si>
  <si>
    <t>2,116,792.00</t>
  </si>
  <si>
    <t>26/08/2025</t>
  </si>
  <si>
    <t>27 november 2025</t>
  </si>
  <si>
    <t>2,631,133.00</t>
  </si>
  <si>
    <t>05 August 2024</t>
  </si>
  <si>
    <t xml:space="preserve"> 02-Feb-2024 </t>
  </si>
  <si>
    <t>asobe shirt</t>
  </si>
  <si>
    <t xml:space="preserve"> 02-Sep-2025 </t>
  </si>
  <si>
    <t>25/06/2025</t>
  </si>
  <si>
    <t>14/02/2025</t>
  </si>
  <si>
    <t>12/03/2024</t>
  </si>
  <si>
    <t>2024/02/14</t>
  </si>
  <si>
    <t>14,021,471.00</t>
  </si>
  <si>
    <t>14/12/2024</t>
  </si>
  <si>
    <t>14-Jun-2024</t>
  </si>
  <si>
    <t>3,596,622.00</t>
  </si>
  <si>
    <t>10/06/2024</t>
  </si>
  <si>
    <t>14-Apr-2025</t>
  </si>
  <si>
    <t>2024/08/22</t>
  </si>
  <si>
    <t>31/08/2024</t>
  </si>
  <si>
    <t>06/11/2025</t>
  </si>
  <si>
    <t>5,297,234.00</t>
  </si>
  <si>
    <t>2024/04/14</t>
  </si>
  <si>
    <t>10,887,632.00</t>
  </si>
  <si>
    <t>21/08/2024</t>
  </si>
  <si>
    <t>22-Jul-2024</t>
  </si>
  <si>
    <t>13,395,811.00</t>
  </si>
  <si>
    <t>11-Mar-2024</t>
  </si>
  <si>
    <t>2025/12/02</t>
  </si>
  <si>
    <t>25 January 2025</t>
  </si>
  <si>
    <t>24-Jun-2025</t>
  </si>
  <si>
    <t>3,106,260.00</t>
  </si>
  <si>
    <t>2024/03/22</t>
  </si>
  <si>
    <t xml:space="preserve"> 06/29/2025 </t>
  </si>
  <si>
    <t>08 March 2025</t>
  </si>
  <si>
    <t>05-Dec-2025</t>
  </si>
  <si>
    <t>DECEMBER</t>
  </si>
  <si>
    <t>09-Sep-2024</t>
  </si>
  <si>
    <t>27/11/2025</t>
  </si>
  <si>
    <t>16/08/2024</t>
  </si>
  <si>
    <t>2024/10/01</t>
  </si>
  <si>
    <t>1,700,612.00</t>
  </si>
  <si>
    <t>12/07/2025</t>
  </si>
  <si>
    <t>23-Jan-2025</t>
  </si>
  <si>
    <t>21 March 2024</t>
  </si>
  <si>
    <t>26 May 2025</t>
  </si>
  <si>
    <t>2025/07/12</t>
  </si>
  <si>
    <t xml:space="preserve"> 07/06/2025 </t>
  </si>
  <si>
    <t>12 October 2024</t>
  </si>
  <si>
    <t>27 May 2025</t>
  </si>
  <si>
    <t>6,641,746.00</t>
  </si>
  <si>
    <t>26/05/2024</t>
  </si>
  <si>
    <t xml:space="preserve"> April </t>
  </si>
  <si>
    <t xml:space="preserve"> 06/03/2025 </t>
  </si>
  <si>
    <t>15-NOV-2024</t>
  </si>
  <si>
    <t xml:space="preserve"> 09-Feb-2025 </t>
  </si>
  <si>
    <t>2025/05/01</t>
  </si>
  <si>
    <t>18 April 2024</t>
  </si>
  <si>
    <t>06/18/2024</t>
  </si>
  <si>
    <t>18-Aug-2024</t>
  </si>
  <si>
    <t>30-Sep-2024</t>
  </si>
  <si>
    <t xml:space="preserve"> 04/24/2024 </t>
  </si>
  <si>
    <t>12/02/2025</t>
  </si>
  <si>
    <t>08/03/2025</t>
  </si>
  <si>
    <t>27-Oct-2025</t>
  </si>
  <si>
    <t>MARCH</t>
  </si>
  <si>
    <t>2024/10/27</t>
  </si>
  <si>
    <t>2025/09/10</t>
  </si>
  <si>
    <t>8,925,622.00</t>
  </si>
  <si>
    <t>07/03/2025</t>
  </si>
  <si>
    <t>18/11/2024</t>
  </si>
  <si>
    <t>JULY</t>
  </si>
  <si>
    <t>2025/07/19</t>
  </si>
  <si>
    <t>22-Jan-2024</t>
  </si>
  <si>
    <t>6,271,336.00</t>
  </si>
  <si>
    <t>13-Sep-2025</t>
  </si>
  <si>
    <t>21/05/2024</t>
  </si>
  <si>
    <t>11/10/2024</t>
  </si>
  <si>
    <t>11/01/2024</t>
  </si>
  <si>
    <t>03/05/2024</t>
  </si>
  <si>
    <t>12/10/2025</t>
  </si>
  <si>
    <t>07 January 2024</t>
  </si>
  <si>
    <t>08/11/2025</t>
  </si>
  <si>
    <t>02/02/2024</t>
  </si>
  <si>
    <t>2024/02/29</t>
  </si>
  <si>
    <t>24-Apr-2025</t>
  </si>
  <si>
    <t>3,866,714.00</t>
  </si>
  <si>
    <t>04/24/2024</t>
  </si>
  <si>
    <t>may</t>
  </si>
  <si>
    <t>2025/01/22</t>
  </si>
  <si>
    <t>april</t>
  </si>
  <si>
    <t>24/06/2024</t>
  </si>
  <si>
    <t>4,065,021.00</t>
  </si>
  <si>
    <t>09 April 2025</t>
  </si>
  <si>
    <t>05-Sep-2025</t>
  </si>
  <si>
    <t>2024/01/26</t>
  </si>
  <si>
    <t>227,945.00</t>
  </si>
  <si>
    <t xml:space="preserve"> 03-Oct-2024 </t>
  </si>
  <si>
    <t>23 August 2024</t>
  </si>
  <si>
    <t>2024/09/28</t>
  </si>
  <si>
    <t xml:space="preserve"> 26 September 2024 </t>
  </si>
  <si>
    <t>07 September 2024</t>
  </si>
  <si>
    <t>12/18/2024</t>
  </si>
  <si>
    <t>2025/06/10</t>
  </si>
  <si>
    <t xml:space="preserve"> October </t>
  </si>
  <si>
    <t>2,888,010.00</t>
  </si>
  <si>
    <t>01/07/2024</t>
  </si>
  <si>
    <t>02 october 2025</t>
  </si>
  <si>
    <t>3,751,148.00</t>
  </si>
  <si>
    <t>14/08/2025</t>
  </si>
  <si>
    <t>20 August 2025</t>
  </si>
  <si>
    <t>01/01/2024</t>
  </si>
  <si>
    <t>04-Dec-2024</t>
  </si>
  <si>
    <t>25-Sep-2025</t>
  </si>
  <si>
    <t>07/12/2025</t>
  </si>
  <si>
    <t>2025/11/17</t>
  </si>
  <si>
    <t>2,408,508.00</t>
  </si>
  <si>
    <t>05 January 2025</t>
  </si>
  <si>
    <t>10,932,582.00</t>
  </si>
  <si>
    <t>5,881,380.00</t>
  </si>
  <si>
    <t>01/03/2024</t>
  </si>
  <si>
    <t xml:space="preserve"> 2024/10/11 </t>
  </si>
  <si>
    <t>APRIL</t>
  </si>
  <si>
    <t>2024/08/13</t>
  </si>
  <si>
    <t>03/08/2025</t>
  </si>
  <si>
    <t>july</t>
  </si>
  <si>
    <t>05-Jun-2024</t>
  </si>
  <si>
    <t>7,409,657.00</t>
  </si>
  <si>
    <t>2,466,037.00</t>
  </si>
  <si>
    <t>26 August 2024</t>
  </si>
  <si>
    <t>14 March 2025</t>
  </si>
  <si>
    <t>AUGUST</t>
  </si>
  <si>
    <t>27/04/2024</t>
  </si>
  <si>
    <t>8,777,125.00</t>
  </si>
  <si>
    <t>1,645,534.00</t>
  </si>
  <si>
    <t xml:space="preserve"> 07-May-2024 </t>
  </si>
  <si>
    <t>5,074,629.00</t>
  </si>
  <si>
    <t>13/03/2024</t>
  </si>
  <si>
    <t>15/12/2025</t>
  </si>
  <si>
    <t xml:space="preserve"> May </t>
  </si>
  <si>
    <t>04/04/2025</t>
  </si>
  <si>
    <t>11-Aug-2024</t>
  </si>
  <si>
    <t>22 April 2024</t>
  </si>
  <si>
    <t xml:space="preserve"> June </t>
  </si>
  <si>
    <t>3,314,932.00</t>
  </si>
  <si>
    <t>2024/04/04</t>
  </si>
  <si>
    <t>2024/03/28</t>
  </si>
  <si>
    <t>07/28/2025</t>
  </si>
  <si>
    <t>14/09/2024</t>
  </si>
  <si>
    <t>10/17/2025</t>
  </si>
  <si>
    <t>07-Aug-2025</t>
  </si>
  <si>
    <t>24 April 2024</t>
  </si>
  <si>
    <t>14 January 2025</t>
  </si>
  <si>
    <t>08 October 2025</t>
  </si>
  <si>
    <t>21/07/2025</t>
  </si>
  <si>
    <t>8,708,702.00</t>
  </si>
  <si>
    <t>2024/03/13</t>
  </si>
  <si>
    <t>12-Jan-2024</t>
  </si>
  <si>
    <t>17/01/2025</t>
  </si>
  <si>
    <t>2024/04/09</t>
  </si>
  <si>
    <t>26/08/2024</t>
  </si>
  <si>
    <t>01/28/2024</t>
  </si>
  <si>
    <t>23-NOV-2025</t>
  </si>
  <si>
    <t>5,053,533.00</t>
  </si>
  <si>
    <t>31/01/2024</t>
  </si>
  <si>
    <t>29-Jan-2025</t>
  </si>
  <si>
    <t>04 August 2024</t>
  </si>
  <si>
    <t>2025/07/03</t>
  </si>
  <si>
    <t xml:space="preserve"> 18-Nov-2025 </t>
  </si>
  <si>
    <t>10 march 2024</t>
  </si>
  <si>
    <t>ASOBE SHIRT</t>
  </si>
  <si>
    <t>2024/07/24</t>
  </si>
  <si>
    <t>16 June 2024</t>
  </si>
  <si>
    <t>07/24/2025</t>
  </si>
  <si>
    <t>16 November 2025</t>
  </si>
  <si>
    <t>07-Apr-2025</t>
  </si>
  <si>
    <t xml:space="preserve"> 2025/03/24 </t>
  </si>
  <si>
    <t>12-Jun-2024</t>
  </si>
  <si>
    <t xml:space="preserve"> November </t>
  </si>
  <si>
    <t>11/30/2025</t>
  </si>
  <si>
    <t>9,814,492.00</t>
  </si>
  <si>
    <t>18/02/2024</t>
  </si>
  <si>
    <t>22/05/2024</t>
  </si>
  <si>
    <t>2024/07/22</t>
  </si>
  <si>
    <t>11/28/2024</t>
  </si>
  <si>
    <t>27 November 2024</t>
  </si>
  <si>
    <t>2025/08/25</t>
  </si>
  <si>
    <t>30/09/2024</t>
  </si>
  <si>
    <t>21-Aug-2025</t>
  </si>
  <si>
    <t>10/20/2025</t>
  </si>
  <si>
    <t>2025/12/19</t>
  </si>
  <si>
    <t>2024/10/08</t>
  </si>
  <si>
    <t>09/08/2025</t>
  </si>
  <si>
    <t>2024/12/10</t>
  </si>
  <si>
    <t>15/06/2024</t>
  </si>
  <si>
    <t>2024/04/05</t>
  </si>
  <si>
    <t>06/08/2024</t>
  </si>
  <si>
    <t xml:space="preserve"> 09/28/2024 </t>
  </si>
  <si>
    <t>2024/03/30</t>
  </si>
  <si>
    <t>13 april 2024</t>
  </si>
  <si>
    <t>12 october 2025</t>
  </si>
  <si>
    <t>21 March 2025</t>
  </si>
  <si>
    <t>31-Dec-2025</t>
  </si>
  <si>
    <t xml:space="preserve"> 15/05/2024 </t>
  </si>
  <si>
    <t xml:space="preserve"> March </t>
  </si>
  <si>
    <t>08-Jan-2024</t>
  </si>
  <si>
    <t>2025/09/02</t>
  </si>
  <si>
    <t xml:space="preserve"> 17 January 2025 </t>
  </si>
  <si>
    <t>04/01/2024</t>
  </si>
  <si>
    <t xml:space="preserve"> 2025/06/30 </t>
  </si>
  <si>
    <t>29-Nov-2025</t>
  </si>
  <si>
    <t>06/05/2025</t>
  </si>
  <si>
    <t>13-Aug-2024</t>
  </si>
  <si>
    <t>09/02/2024</t>
  </si>
  <si>
    <t>15-Apr-2025</t>
  </si>
  <si>
    <t>20-May-2025</t>
  </si>
  <si>
    <t>1,065,997.00</t>
  </si>
  <si>
    <t>13 August 2025</t>
  </si>
  <si>
    <t>23 October 2024</t>
  </si>
  <si>
    <t>02/01/2025</t>
  </si>
  <si>
    <t>08/04/2024</t>
  </si>
  <si>
    <t>10/09/2024</t>
  </si>
  <si>
    <t xml:space="preserve"> 06/07/2025 </t>
  </si>
  <si>
    <t>19/11/2024</t>
  </si>
  <si>
    <t>16-Feb-2024</t>
  </si>
  <si>
    <t>2025/05/15</t>
  </si>
  <si>
    <t>25 October 2025</t>
  </si>
  <si>
    <t>11/02/2025</t>
  </si>
  <si>
    <t>22 December 2025</t>
  </si>
  <si>
    <t>Zen T-Shirt</t>
  </si>
  <si>
    <t>Month No.</t>
  </si>
  <si>
    <t>Quarter</t>
  </si>
  <si>
    <t>Profit Margin</t>
  </si>
  <si>
    <t>Expenses Ratio</t>
  </si>
  <si>
    <t>Row Labels</t>
  </si>
  <si>
    <t>Grand Total</t>
  </si>
  <si>
    <t>Sum of Revenue</t>
  </si>
  <si>
    <t>Column Labels</t>
  </si>
  <si>
    <t>Sum of Profit</t>
  </si>
  <si>
    <t>Sum of Expenses</t>
  </si>
  <si>
    <t>Average of Profit Margin</t>
  </si>
  <si>
    <t>KPI</t>
  </si>
  <si>
    <t>Value</t>
  </si>
  <si>
    <t>Total Revenue</t>
  </si>
  <si>
    <t>Total Expenses</t>
  </si>
  <si>
    <t>Total Profit</t>
  </si>
  <si>
    <t>Q1</t>
  </si>
  <si>
    <t>Q2</t>
  </si>
  <si>
    <t>Q3</t>
  </si>
  <si>
    <t>Q4</t>
  </si>
  <si>
    <t>Expenses Margin</t>
  </si>
  <si>
    <t>KPI2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</si>
</sst>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
    <numFmt numFmtId="165" formatCode="[$₦-46A]#,##0.00"/>
    <numFmt numFmtId="166" formatCode="[$₦-46A]#,##0"/>
  </numFmts>
  <fonts count="3" x14ac:knownFonts="1">
    <font>
      <sz val="11"/>
      <color theme="1"/>
      <name val="Calibri"/>
      <family val="2"/>
      <scheme val="minor"/>
    </font>
    <font>
      <b/>
      <sz val="11"/>
      <name val="Calibri"/>
      <family val="2"/>
    </font>
    <font>
      <b/>
      <sz val="11"/>
      <color theme="1"/>
      <name val="Calibri"/>
      <family val="2"/>
      <scheme val="minor"/>
    </font>
  </fonts>
  <fills count="5">
    <fill>
      <patternFill patternType="none"/>
    </fill>
    <fill>
      <patternFill patternType="gray125"/>
    </fill>
    <fill>
      <patternFill patternType="solid">
        <fgColor theme="1" tint="0.34998626667073579"/>
        <bgColor indexed="64"/>
      </patternFill>
    </fill>
    <fill>
      <patternFill patternType="solid">
        <fgColor theme="4"/>
        <bgColor indexed="64"/>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theme="4" tint="0.39997558519241921"/>
      </top>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4" fontId="0" fillId="0" borderId="0" xfId="0" applyNumberFormat="1"/>
    <xf numFmtId="14" fontId="1" fillId="0" borderId="2" xfId="0" applyNumberFormat="1" applyFont="1" applyBorder="1" applyAlignment="1">
      <alignment horizontal="center" vertical="top"/>
    </xf>
    <xf numFmtId="10" fontId="1" fillId="0" borderId="2" xfId="0" applyNumberFormat="1" applyFont="1" applyBorder="1" applyAlignment="1">
      <alignment horizontal="center" vertical="top"/>
    </xf>
    <xf numFmtId="10" fontId="0" fillId="0" borderId="0" xfId="0" applyNumberFormat="1"/>
    <xf numFmtId="49" fontId="1" fillId="0" borderId="2" xfId="0" applyNumberFormat="1" applyFont="1" applyBorder="1" applyAlignment="1">
      <alignment horizontal="center" vertical="top"/>
    </xf>
    <xf numFmtId="49"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3" borderId="0" xfId="0" applyFill="1"/>
    <xf numFmtId="165" fontId="1" fillId="0" borderId="2" xfId="0" applyNumberFormat="1" applyFont="1" applyBorder="1" applyAlignment="1">
      <alignment horizontal="center" vertical="top"/>
    </xf>
    <xf numFmtId="165" fontId="0" fillId="0" borderId="0" xfId="0" applyNumberFormat="1"/>
    <xf numFmtId="166" fontId="0" fillId="0" borderId="0" xfId="0" applyNumberFormat="1"/>
    <xf numFmtId="1" fontId="0" fillId="0" borderId="0" xfId="0" applyNumberFormat="1"/>
    <xf numFmtId="165" fontId="2" fillId="4" borderId="3" xfId="0" applyNumberFormat="1" applyFont="1" applyFill="1" applyBorder="1"/>
  </cellXfs>
  <cellStyles count="1">
    <cellStyle name="Normal" xfId="0" builtinId="0"/>
  </cellStyles>
  <dxfs count="22">
    <dxf>
      <numFmt numFmtId="19" formatCode="m/d/yyyy"/>
    </dxf>
    <dxf>
      <numFmt numFmtId="14" formatCode="0.00%"/>
    </dxf>
    <dxf>
      <numFmt numFmtId="14" formatCode="0.00%"/>
    </dxf>
    <dxf>
      <numFmt numFmtId="165" formatCode="[$₦-46A]#,##0.00"/>
    </dxf>
    <dxf>
      <numFmt numFmtId="165" formatCode="[$₦-46A]#,##0.00"/>
    </dxf>
    <dxf>
      <numFmt numFmtId="165" formatCode="[$₦-46A]#,##0.00"/>
    </dxf>
    <dxf>
      <numFmt numFmtId="30" formatCode="@"/>
    </dxf>
    <dxf>
      <numFmt numFmtId="1" formatCode="0"/>
    </dxf>
    <dxf>
      <numFmt numFmtId="30" formatCode="@"/>
    </dxf>
    <dxf>
      <numFmt numFmtId="19" formatCode="m/d/yyyy"/>
    </dxf>
    <dxf>
      <numFmt numFmtId="14" formatCode="0.00%"/>
    </dxf>
    <dxf>
      <numFmt numFmtId="14" formatCode="0.00%"/>
    </dxf>
    <dxf>
      <numFmt numFmtId="165" formatCode="[$₦-46A]#,##0.00"/>
    </dxf>
    <dxf>
      <numFmt numFmtId="165" formatCode="[$₦-46A]#,##0.00"/>
    </dxf>
    <dxf>
      <numFmt numFmtId="165" formatCode="[$₦-46A]#,##0.00"/>
    </dxf>
    <dxf>
      <numFmt numFmtId="30" formatCode="@"/>
    </dxf>
    <dxf>
      <numFmt numFmtId="0" formatCode="General"/>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[Zone X Financial Analysis.xlsx]Pivot Sheet!revenue vs expenses</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chemeClr val="bg1"/>
                </a:solidFill>
                <a:latin typeface="Arial" panose="020B0604020202020204" pitchFamily="34" charset="0"/>
                <a:cs typeface="Arial" panose="020B0604020202020204" pitchFamily="34" charset="0"/>
              </a:rPr>
              <a:t>Revenue VS Expenses</a:t>
            </a:r>
            <a:br>
              <a:rPr lang="en-US" sz="1000" b="1">
                <a:solidFill>
                  <a:schemeClr val="bg1"/>
                </a:solidFill>
                <a:latin typeface="Arial" panose="020B0604020202020204" pitchFamily="34" charset="0"/>
                <a:cs typeface="Arial" panose="020B0604020202020204" pitchFamily="34" charset="0"/>
              </a:rPr>
            </a:br>
            <a:r>
              <a:rPr lang="en-US" sz="1000" b="1" i="0" u="none" strike="noStrike" kern="1200" spc="0" baseline="0">
                <a:solidFill>
                  <a:schemeClr val="bg1"/>
                </a:solidFill>
                <a:latin typeface="Arial" panose="020B0604020202020204" pitchFamily="34" charset="0"/>
                <a:cs typeface="Arial" panose="020B0604020202020204" pitchFamily="34" charset="0"/>
              </a:rPr>
              <a:t>2024 VS 2025</a:t>
            </a:r>
            <a:endParaRPr lang="en-US" sz="1000" b="1">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13432835820895"/>
                  <c:h val="5.5812133072407059E-2"/>
                </c:manualLayout>
              </c15:layout>
            </c:ext>
          </c:extLst>
        </c:dLbl>
      </c:pivotFmt>
      <c:pivotFmt>
        <c:idx val="5"/>
        <c:spPr>
          <a:solidFill>
            <a:schemeClr val="accent2"/>
          </a:solidFill>
          <a:ln>
            <a:noFill/>
          </a:ln>
          <a:effectLst/>
        </c:spP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134328358209"/>
                  <c:h val="5.5812133072407059E-2"/>
                </c:manualLayout>
              </c15:layout>
            </c:ext>
          </c:extLst>
        </c:dLbl>
      </c:pivotFmt>
      <c:pivotFmt>
        <c:idx val="6"/>
        <c:spPr>
          <a:solidFill>
            <a:schemeClr val="accent1"/>
          </a:solidFill>
          <a:ln>
            <a:noFill/>
          </a:ln>
          <a:effectLst/>
        </c:spPr>
        <c:dLbl>
          <c:idx val="0"/>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73134328358209"/>
                  <c:h val="7.5851085008958805E-2"/>
                </c:manualLayout>
              </c15:layout>
            </c:ext>
          </c:extLst>
        </c:dLbl>
      </c:pivotFmt>
      <c:pivotFmt>
        <c:idx val="7"/>
        <c:spPr>
          <a:solidFill>
            <a:schemeClr val="accent1"/>
          </a:solidFill>
          <a:ln>
            <a:noFill/>
          </a:ln>
          <a:effectLst/>
        </c:spPr>
        <c:dLbl>
          <c:idx val="0"/>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701492537313428"/>
                  <c:h val="7.5851085008958805E-2"/>
                </c:manualLayout>
              </c15:layout>
            </c:ext>
          </c:extLst>
        </c:dLbl>
      </c:pivotFmt>
    </c:pivotFmts>
    <c:plotArea>
      <c:layout>
        <c:manualLayout>
          <c:layoutTarget val="inner"/>
          <c:xMode val="edge"/>
          <c:yMode val="edge"/>
          <c:x val="6.5671641791044774E-2"/>
          <c:y val="0.11611219830397912"/>
          <c:w val="0.86865671641791042"/>
          <c:h val="0.77662819544817185"/>
        </c:manualLayout>
      </c:layout>
      <c:barChart>
        <c:barDir val="col"/>
        <c:grouping val="clustered"/>
        <c:varyColors val="0"/>
        <c:ser>
          <c:idx val="0"/>
          <c:order val="0"/>
          <c:tx>
            <c:strRef>
              <c:f>'Pivot Sheet'!$L$2</c:f>
              <c:strCache>
                <c:ptCount val="1"/>
                <c:pt idx="0">
                  <c:v>Sum of Expenses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94C7-40AF-9670-952ED320F10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94C7-40AF-9670-952ED320F102}"/>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973134328358209"/>
                      <c:h val="5.5812133072407059E-2"/>
                    </c:manualLayout>
                  </c15:layout>
                </c:ext>
                <c:ext xmlns:c16="http://schemas.microsoft.com/office/drawing/2014/chart" uri="{C3380CC4-5D6E-409C-BE32-E72D297353CC}">
                  <c16:uniqueId val="{00000003-94C7-40AF-9670-952ED320F102}"/>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913432835820895"/>
                      <c:h val="5.5812133072407059E-2"/>
                    </c:manualLayout>
                  </c15:layout>
                </c:ext>
                <c:ext xmlns:c16="http://schemas.microsoft.com/office/drawing/2014/chart" uri="{C3380CC4-5D6E-409C-BE32-E72D297353CC}">
                  <c16:uniqueId val="{00000002-94C7-40AF-9670-952ED320F102}"/>
                </c:ext>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Sheet'!$K$3:$K$5</c:f>
              <c:strCache>
                <c:ptCount val="2"/>
                <c:pt idx="0">
                  <c:v>2024</c:v>
                </c:pt>
                <c:pt idx="1">
                  <c:v>2025</c:v>
                </c:pt>
              </c:strCache>
            </c:strRef>
          </c:cat>
          <c:val>
            <c:numRef>
              <c:f>'Pivot Sheet'!$L$3:$L$5</c:f>
              <c:numCache>
                <c:formatCode>[$₦-46A]#,##0</c:formatCode>
                <c:ptCount val="2"/>
                <c:pt idx="0">
                  <c:v>642703487</c:v>
                </c:pt>
                <c:pt idx="1">
                  <c:v>556206486</c:v>
                </c:pt>
              </c:numCache>
            </c:numRef>
          </c:val>
          <c:extLst>
            <c:ext xmlns:c16="http://schemas.microsoft.com/office/drawing/2014/chart" uri="{C3380CC4-5D6E-409C-BE32-E72D297353CC}">
              <c16:uniqueId val="{00000000-94C7-40AF-9670-952ED320F102}"/>
            </c:ext>
          </c:extLst>
        </c:ser>
        <c:ser>
          <c:idx val="1"/>
          <c:order val="1"/>
          <c:tx>
            <c:strRef>
              <c:f>'Pivot Sheet'!$M$2</c:f>
              <c:strCache>
                <c:ptCount val="1"/>
                <c:pt idx="0">
                  <c:v>Sum of Revenue</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4-94C7-40AF-9670-952ED320F10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94C7-40AF-9670-952ED320F102}"/>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973134328358209"/>
                      <c:h val="7.5851085008958805E-2"/>
                    </c:manualLayout>
                  </c15:layout>
                </c:ext>
                <c:ext xmlns:c16="http://schemas.microsoft.com/office/drawing/2014/chart" uri="{C3380CC4-5D6E-409C-BE32-E72D297353CC}">
                  <c16:uniqueId val="{00000004-94C7-40AF-9670-952ED320F102}"/>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35701492537313428"/>
                      <c:h val="7.5851085008958805E-2"/>
                    </c:manualLayout>
                  </c15:layout>
                </c:ext>
                <c:ext xmlns:c16="http://schemas.microsoft.com/office/drawing/2014/chart" uri="{C3380CC4-5D6E-409C-BE32-E72D297353CC}">
                  <c16:uniqueId val="{00000005-94C7-40AF-9670-952ED320F102}"/>
                </c:ext>
              </c:extLst>
            </c:dLbl>
            <c:numFmt formatCode="[$₦-46A]#,##0.00,,,&quot;B&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Sheet'!$K$3:$K$5</c:f>
              <c:strCache>
                <c:ptCount val="2"/>
                <c:pt idx="0">
                  <c:v>2024</c:v>
                </c:pt>
                <c:pt idx="1">
                  <c:v>2025</c:v>
                </c:pt>
              </c:strCache>
            </c:strRef>
          </c:cat>
          <c:val>
            <c:numRef>
              <c:f>'Pivot Sheet'!$M$3:$M$5</c:f>
              <c:numCache>
                <c:formatCode>[$₦-46A]#,##0</c:formatCode>
                <c:ptCount val="2"/>
                <c:pt idx="0">
                  <c:v>1194737216</c:v>
                </c:pt>
                <c:pt idx="1">
                  <c:v>1221342386</c:v>
                </c:pt>
              </c:numCache>
            </c:numRef>
          </c:val>
          <c:extLst>
            <c:ext xmlns:c16="http://schemas.microsoft.com/office/drawing/2014/chart" uri="{C3380CC4-5D6E-409C-BE32-E72D297353CC}">
              <c16:uniqueId val="{00000001-94C7-40AF-9670-952ED320F102}"/>
            </c:ext>
          </c:extLst>
        </c:ser>
        <c:dLbls>
          <c:dLblPos val="outEnd"/>
          <c:showLegendKey val="0"/>
          <c:showVal val="1"/>
          <c:showCatName val="0"/>
          <c:showSerName val="0"/>
          <c:showPercent val="0"/>
          <c:showBubbleSize val="0"/>
        </c:dLbls>
        <c:gapWidth val="219"/>
        <c:overlap val="-27"/>
        <c:axId val="1475145791"/>
        <c:axId val="647340447"/>
      </c:barChart>
      <c:catAx>
        <c:axId val="147514579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647340447"/>
        <c:crosses val="autoZero"/>
        <c:auto val="1"/>
        <c:lblAlgn val="ctr"/>
        <c:lblOffset val="100"/>
        <c:noMultiLvlLbl val="0"/>
      </c:catAx>
      <c:valAx>
        <c:axId val="647340447"/>
        <c:scaling>
          <c:orientation val="minMax"/>
        </c:scaling>
        <c:delete val="1"/>
        <c:axPos val="l"/>
        <c:numFmt formatCode="[$₦-46A]#,##0" sourceLinked="1"/>
        <c:majorTickMark val="none"/>
        <c:minorTickMark val="none"/>
        <c:tickLblPos val="nextTo"/>
        <c:crossAx val="14751457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[Zone X Financial Analysis.xlsx]Pivot Sheet!monthly profit</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000">
                <a:latin typeface="Arial" panose="020B0604020202020204" pitchFamily="34" charset="0"/>
                <a:cs typeface="Arial" panose="020B0604020202020204" pitchFamily="34" charset="0"/>
              </a:rPr>
              <a:t> </a:t>
            </a:r>
            <a:r>
              <a:rPr lang="en-US" sz="1000" b="1" i="0" u="none" strike="noStrike" kern="1200" spc="0" baseline="0">
                <a:solidFill>
                  <a:schemeClr val="bg1"/>
                </a:solidFill>
                <a:latin typeface="Arial" panose="020B0604020202020204" pitchFamily="34" charset="0"/>
                <a:cs typeface="Arial" panose="020B0604020202020204" pitchFamily="34" charset="0"/>
              </a:rPr>
              <a:t>Monthly Profit Trend      2024 VS 2025</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3.732271434422621E-2"/>
              <c:y val="-0.28491298601920956"/>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3.8831768610411738E-2"/>
              <c:y val="-0.26664041994750659"/>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3.732271434422621E-2"/>
              <c:y val="-0.23539041994750651"/>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3.8831768610411765E-2"/>
              <c:y val="-0.24580708661417328"/>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3.732271434422621E-2"/>
              <c:y val="-0.21455708661417319"/>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3.7322714344226154E-2"/>
              <c:y val="-5.8307086614173324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3.8831768610411738E-2"/>
              <c:y val="-4.7890419947506563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3.8831768610411849E-2"/>
              <c:y val="-0.22497375328083993"/>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3.8831768610411738E-2"/>
              <c:y val="-9.9973753280839989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layout>
            <c:manualLayout>
              <c:x val="-3.7322714344226321E-2"/>
              <c:y val="-0.22497375328083991"/>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layout>
            <c:manualLayout>
              <c:x val="-3.8831768610411682E-2"/>
              <c:y val="-0.21455708661417328"/>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layout>
            <c:manualLayout>
              <c:x val="-2.182389526830688E-2"/>
              <c:y val="-4.789041994750666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3.8831768610411849E-2"/>
              <c:y val="-0.14164041994750665"/>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none"/>
        </c:marker>
        <c:dLbl>
          <c:idx val="0"/>
          <c:layout>
            <c:manualLayout>
              <c:x val="-3.732271434422621E-2"/>
              <c:y val="-0.2145570866141732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2"/>
            </a:solidFill>
            <a:round/>
          </a:ln>
          <a:effectLst/>
        </c:spPr>
        <c:marker>
          <c:symbol val="none"/>
        </c:marker>
        <c:dLbl>
          <c:idx val="0"/>
          <c:layout>
            <c:manualLayout>
              <c:x val="-3.732271434422621E-2"/>
              <c:y val="-0.25622375328083996"/>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99596928040805E-2"/>
          <c:y val="0.39943323490813654"/>
          <c:w val="0.96680080614391839"/>
          <c:h val="0.41034120734908142"/>
        </c:manualLayout>
      </c:layout>
      <c:lineChart>
        <c:grouping val="standard"/>
        <c:varyColors val="0"/>
        <c:ser>
          <c:idx val="0"/>
          <c:order val="0"/>
          <c:tx>
            <c:strRef>
              <c:f>'Pivot Sheet'!$G$3:$G$4</c:f>
              <c:strCache>
                <c:ptCount val="1"/>
                <c:pt idx="0">
                  <c:v>2025</c:v>
                </c:pt>
              </c:strCache>
            </c:strRef>
          </c:tx>
          <c:spPr>
            <a:ln w="28575" cap="rnd">
              <a:solidFill>
                <a:schemeClr val="accent2"/>
              </a:solidFill>
              <a:round/>
            </a:ln>
            <a:effectLst/>
          </c:spPr>
          <c:marker>
            <c:symbol val="none"/>
          </c:marker>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C-94EC-45FE-83C9-18F5AE0D9748}"/>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B-94EC-45FE-83C9-18F5AE0D9748}"/>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F-94EC-45FE-83C9-18F5AE0D9748}"/>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10-94EC-45FE-83C9-18F5AE0D9748}"/>
              </c:ext>
            </c:extLst>
          </c:dPt>
          <c:dLbls>
            <c:dLbl>
              <c:idx val="5"/>
              <c:layout>
                <c:manualLayout>
                  <c:x val="-3.8831768610411682E-2"/>
                  <c:y val="-0.214557086614173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4EC-45FE-83C9-18F5AE0D9748}"/>
                </c:ext>
              </c:extLst>
            </c:dLbl>
            <c:dLbl>
              <c:idx val="6"/>
              <c:layout>
                <c:manualLayout>
                  <c:x val="-3.7322714344226321E-2"/>
                  <c:y val="-0.224973753280839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4EC-45FE-83C9-18F5AE0D9748}"/>
                </c:ext>
              </c:extLst>
            </c:dLbl>
            <c:dLbl>
              <c:idx val="9"/>
              <c:layout>
                <c:manualLayout>
                  <c:x val="-3.732271434422621E-2"/>
                  <c:y val="-0.214557086614173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94EC-45FE-83C9-18F5AE0D9748}"/>
                </c:ext>
              </c:extLst>
            </c:dLbl>
            <c:dLbl>
              <c:idx val="10"/>
              <c:layout>
                <c:manualLayout>
                  <c:x val="-3.732271434422621E-2"/>
                  <c:y val="-0.2562237532808399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94EC-45FE-83C9-18F5AE0D9748}"/>
                </c:ext>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Sheet'!$F$5:$F$17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Sheet'!$G$5:$G$17</c:f>
              <c:numCache>
                <c:formatCode>[$₦-46A]#,##0</c:formatCode>
                <c:ptCount val="12"/>
                <c:pt idx="0">
                  <c:v>57977162</c:v>
                </c:pt>
                <c:pt idx="1">
                  <c:v>33296481</c:v>
                </c:pt>
                <c:pt idx="2">
                  <c:v>33448064</c:v>
                </c:pt>
                <c:pt idx="3">
                  <c:v>46224512</c:v>
                </c:pt>
                <c:pt idx="4">
                  <c:v>55360689</c:v>
                </c:pt>
                <c:pt idx="5">
                  <c:v>63650176</c:v>
                </c:pt>
                <c:pt idx="6">
                  <c:v>65277618</c:v>
                </c:pt>
                <c:pt idx="7">
                  <c:v>74211653</c:v>
                </c:pt>
                <c:pt idx="8">
                  <c:v>57354227</c:v>
                </c:pt>
                <c:pt idx="9">
                  <c:v>68157167</c:v>
                </c:pt>
                <c:pt idx="10">
                  <c:v>45430106</c:v>
                </c:pt>
                <c:pt idx="11">
                  <c:v>64748045</c:v>
                </c:pt>
              </c:numCache>
            </c:numRef>
          </c:val>
          <c:smooth val="0"/>
          <c:extLst>
            <c:ext xmlns:c16="http://schemas.microsoft.com/office/drawing/2014/chart" uri="{C3380CC4-5D6E-409C-BE32-E72D297353CC}">
              <c16:uniqueId val="{00000000-94EC-45FE-83C9-18F5AE0D9748}"/>
            </c:ext>
          </c:extLst>
        </c:ser>
        <c:ser>
          <c:idx val="1"/>
          <c:order val="1"/>
          <c:tx>
            <c:strRef>
              <c:f>'Pivot Sheet'!$H$3:$H$4</c:f>
              <c:strCache>
                <c:ptCount val="1"/>
                <c:pt idx="0">
                  <c:v>2024</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0-3698-4262-907C-52DF07F5BCB0}"/>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3698-4262-907C-52DF07F5BCB0}"/>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3698-4262-907C-52DF07F5BCB0}"/>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3-3698-4262-907C-52DF07F5BCB0}"/>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4-3698-4262-907C-52DF07F5BCB0}"/>
              </c:ext>
            </c:extLst>
          </c:dPt>
          <c:dPt>
            <c:idx val="5"/>
            <c:marker>
              <c:symbol val="none"/>
            </c:marker>
            <c:bubble3D val="0"/>
            <c:spPr>
              <a:ln w="28575" cap="rnd">
                <a:solidFill>
                  <a:schemeClr val="accent1"/>
                </a:solidFill>
                <a:round/>
              </a:ln>
              <a:effectLst/>
            </c:spPr>
            <c:extLst>
              <c:ext xmlns:c16="http://schemas.microsoft.com/office/drawing/2014/chart" uri="{C3380CC4-5D6E-409C-BE32-E72D297353CC}">
                <c16:uniqueId val="{00000005-3698-4262-907C-52DF07F5BCB0}"/>
              </c:ext>
            </c:extLst>
          </c:dPt>
          <c:dPt>
            <c:idx val="6"/>
            <c:marker>
              <c:symbol val="none"/>
            </c:marker>
            <c:bubble3D val="0"/>
            <c:spPr>
              <a:ln w="28575" cap="rnd">
                <a:solidFill>
                  <a:schemeClr val="accent1"/>
                </a:solidFill>
                <a:round/>
              </a:ln>
              <a:effectLst/>
            </c:spPr>
            <c:extLst>
              <c:ext xmlns:c16="http://schemas.microsoft.com/office/drawing/2014/chart" uri="{C3380CC4-5D6E-409C-BE32-E72D297353CC}">
                <c16:uniqueId val="{00000006-3698-4262-907C-52DF07F5BCB0}"/>
              </c:ext>
            </c:extLst>
          </c:dPt>
          <c:dPt>
            <c:idx val="7"/>
            <c:marker>
              <c:symbol val="none"/>
            </c:marker>
            <c:bubble3D val="0"/>
            <c:spPr>
              <a:ln w="28575" cap="rnd">
                <a:solidFill>
                  <a:schemeClr val="accent1"/>
                </a:solidFill>
                <a:round/>
              </a:ln>
              <a:effectLst/>
            </c:spPr>
            <c:extLst>
              <c:ext xmlns:c16="http://schemas.microsoft.com/office/drawing/2014/chart" uri="{C3380CC4-5D6E-409C-BE32-E72D297353CC}">
                <c16:uniqueId val="{00000007-3698-4262-907C-52DF07F5BCB0}"/>
              </c:ext>
            </c:extLst>
          </c:dPt>
          <c:dPt>
            <c:idx val="8"/>
            <c:marker>
              <c:symbol val="none"/>
            </c:marker>
            <c:bubble3D val="0"/>
            <c:spPr>
              <a:ln w="28575" cap="rnd">
                <a:solidFill>
                  <a:schemeClr val="accent1"/>
                </a:solidFill>
                <a:round/>
              </a:ln>
              <a:effectLst/>
            </c:spPr>
            <c:extLst>
              <c:ext xmlns:c16="http://schemas.microsoft.com/office/drawing/2014/chart" uri="{C3380CC4-5D6E-409C-BE32-E72D297353CC}">
                <c16:uniqueId val="{00000008-3698-4262-907C-52DF07F5BCB0}"/>
              </c:ext>
            </c:extLst>
          </c:dPt>
          <c:dPt>
            <c:idx val="10"/>
            <c:marker>
              <c:symbol val="none"/>
            </c:marker>
            <c:bubble3D val="0"/>
            <c:spPr>
              <a:ln w="28575" cap="rnd">
                <a:solidFill>
                  <a:schemeClr val="accent1"/>
                </a:solidFill>
                <a:round/>
              </a:ln>
              <a:effectLst/>
            </c:spPr>
            <c:extLst>
              <c:ext xmlns:c16="http://schemas.microsoft.com/office/drawing/2014/chart" uri="{C3380CC4-5D6E-409C-BE32-E72D297353CC}">
                <c16:uniqueId val="{00000009-3698-4262-907C-52DF07F5BCB0}"/>
              </c:ext>
            </c:extLst>
          </c:dPt>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A-3698-4262-907C-52DF07F5BCB0}"/>
              </c:ext>
            </c:extLst>
          </c:dPt>
          <c:dLbls>
            <c:dLbl>
              <c:idx val="0"/>
              <c:layout>
                <c:manualLayout>
                  <c:x val="-3.732271434422621E-2"/>
                  <c:y val="-0.2353904199475065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698-4262-907C-52DF07F5BCB0}"/>
                </c:ext>
              </c:extLst>
            </c:dLbl>
            <c:dLbl>
              <c:idx val="1"/>
              <c:layout>
                <c:manualLayout>
                  <c:x val="-3.8831768610411738E-2"/>
                  <c:y val="-0.2666404199475065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698-4262-907C-52DF07F5BCB0}"/>
                </c:ext>
              </c:extLst>
            </c:dLbl>
            <c:dLbl>
              <c:idx val="2"/>
              <c:layout>
                <c:manualLayout>
                  <c:x val="-3.8831768610411765E-2"/>
                  <c:y val="-0.245807086614173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98-4262-907C-52DF07F5BCB0}"/>
                </c:ext>
              </c:extLst>
            </c:dLbl>
            <c:dLbl>
              <c:idx val="3"/>
              <c:layout>
                <c:manualLayout>
                  <c:x val="-3.732271434422621E-2"/>
                  <c:y val="-0.2145570866141731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98-4262-907C-52DF07F5BCB0}"/>
                </c:ext>
              </c:extLst>
            </c:dLbl>
            <c:dLbl>
              <c:idx val="4"/>
              <c:layout>
                <c:manualLayout>
                  <c:x val="-3.8831768610411738E-2"/>
                  <c:y val="-4.78904199475065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98-4262-907C-52DF07F5BCB0}"/>
                </c:ext>
              </c:extLst>
            </c:dLbl>
            <c:dLbl>
              <c:idx val="5"/>
              <c:layout>
                <c:manualLayout>
                  <c:x val="-3.7322714344226154E-2"/>
                  <c:y val="-5.830708661417332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98-4262-907C-52DF07F5BCB0}"/>
                </c:ext>
              </c:extLst>
            </c:dLbl>
            <c:dLbl>
              <c:idx val="6"/>
              <c:layout>
                <c:manualLayout>
                  <c:x val="-3.8831768610411738E-2"/>
                  <c:y val="-9.99737532808399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98-4262-907C-52DF07F5BCB0}"/>
                </c:ext>
              </c:extLst>
            </c:dLbl>
            <c:dLbl>
              <c:idx val="7"/>
              <c:layout>
                <c:manualLayout>
                  <c:x val="-3.8831768610411849E-2"/>
                  <c:y val="-0.2249737532808399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698-4262-907C-52DF07F5BCB0}"/>
                </c:ext>
              </c:extLst>
            </c:dLbl>
            <c:dLbl>
              <c:idx val="8"/>
              <c:layout>
                <c:manualLayout>
                  <c:x val="-3.732271434422621E-2"/>
                  <c:y val="-0.284912986019209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698-4262-907C-52DF07F5BCB0}"/>
                </c:ext>
              </c:extLst>
            </c:dLbl>
            <c:dLbl>
              <c:idx val="10"/>
              <c:layout>
                <c:manualLayout>
                  <c:x val="-3.8831768610411849E-2"/>
                  <c:y val="-0.1416404199475066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698-4262-907C-52DF07F5BCB0}"/>
                </c:ext>
              </c:extLst>
            </c:dLbl>
            <c:dLbl>
              <c:idx val="11"/>
              <c:layout>
                <c:manualLayout>
                  <c:x val="-2.182389526830688E-2"/>
                  <c:y val="-4.7890419947506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698-4262-907C-52DF07F5BCB0}"/>
                </c:ext>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Sheet'!$F$5:$F$17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Sheet'!$H$5:$H$17</c:f>
              <c:numCache>
                <c:formatCode>[$₦-46A]#,##0</c:formatCode>
                <c:ptCount val="12"/>
                <c:pt idx="0">
                  <c:v>66644091</c:v>
                </c:pt>
                <c:pt idx="1">
                  <c:v>40996097</c:v>
                </c:pt>
                <c:pt idx="2">
                  <c:v>45963118</c:v>
                </c:pt>
                <c:pt idx="3">
                  <c:v>68069857</c:v>
                </c:pt>
                <c:pt idx="4">
                  <c:v>31328143</c:v>
                </c:pt>
                <c:pt idx="5">
                  <c:v>39207813</c:v>
                </c:pt>
                <c:pt idx="6">
                  <c:v>29768288</c:v>
                </c:pt>
                <c:pt idx="7">
                  <c:v>96239712</c:v>
                </c:pt>
                <c:pt idx="8">
                  <c:v>46006650</c:v>
                </c:pt>
                <c:pt idx="9">
                  <c:v>32082676</c:v>
                </c:pt>
                <c:pt idx="10">
                  <c:v>23419955</c:v>
                </c:pt>
                <c:pt idx="11">
                  <c:v>32307329</c:v>
                </c:pt>
              </c:numCache>
            </c:numRef>
          </c:val>
          <c:smooth val="0"/>
          <c:extLst>
            <c:ext xmlns:c16="http://schemas.microsoft.com/office/drawing/2014/chart" uri="{C3380CC4-5D6E-409C-BE32-E72D297353CC}">
              <c16:uniqueId val="{00000014-94EC-45FE-83C9-18F5AE0D9748}"/>
            </c:ext>
          </c:extLst>
        </c:ser>
        <c:dLbls>
          <c:dLblPos val="t"/>
          <c:showLegendKey val="0"/>
          <c:showVal val="1"/>
          <c:showCatName val="0"/>
          <c:showSerName val="0"/>
          <c:showPercent val="0"/>
          <c:showBubbleSize val="0"/>
        </c:dLbls>
        <c:smooth val="0"/>
        <c:axId val="787031232"/>
        <c:axId val="542602976"/>
      </c:lineChart>
      <c:catAx>
        <c:axId val="7870312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42602976"/>
        <c:crosses val="autoZero"/>
        <c:auto val="1"/>
        <c:lblAlgn val="ctr"/>
        <c:lblOffset val="100"/>
        <c:noMultiLvlLbl val="0"/>
      </c:catAx>
      <c:valAx>
        <c:axId val="542602976"/>
        <c:scaling>
          <c:orientation val="minMax"/>
        </c:scaling>
        <c:delete val="1"/>
        <c:axPos val="l"/>
        <c:numFmt formatCode="[$₦-46A]#,##0" sourceLinked="1"/>
        <c:majorTickMark val="none"/>
        <c:minorTickMark val="none"/>
        <c:tickLblPos val="nextTo"/>
        <c:crossAx val="787031232"/>
        <c:crosses val="autoZero"/>
        <c:crossBetween val="between"/>
      </c:valAx>
      <c:spPr>
        <a:noFill/>
        <a:ln>
          <a:noFill/>
        </a:ln>
        <a:effectLst/>
      </c:spPr>
    </c:plotArea>
    <c:legend>
      <c:legendPos val="t"/>
      <c:layout>
        <c:manualLayout>
          <c:xMode val="edge"/>
          <c:yMode val="edge"/>
          <c:x val="0.7826639845900607"/>
          <c:y val="4.7374531777135534E-2"/>
          <c:w val="0.20730781510686902"/>
          <c:h val="0.14913268754223924"/>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[Zone X Financial Analysis.xlsx]Pivot Sheet!monthly revenue trend</c:name>
    <c:fmtId val="8"/>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kern="1200" spc="0" baseline="0">
                <a:solidFill>
                  <a:schemeClr val="bg1"/>
                </a:solidFill>
                <a:latin typeface="Arial" panose="020B0604020202020204" pitchFamily="34" charset="0"/>
                <a:cs typeface="Arial" panose="020B0604020202020204" pitchFamily="34" charset="0"/>
              </a:rPr>
              <a:t>Monthly Revenue Trend     2024 VS 2025</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3.9004596626774017E-2"/>
              <c:y val="7.3468919400150268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4.0507226228577178E-2"/>
              <c:y val="-0.20700985241166461"/>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4.0169075409525724E-2"/>
              <c:y val="-0.1969596011553833"/>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4.0507226228577206E-2"/>
              <c:y val="-0.22711035492422743"/>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4.0507226228577178E-2"/>
              <c:y val="-0.16680884738653901"/>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4.1671705011328879E-2"/>
              <c:y val="-0.23716060618050888"/>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layout>
            <c:manualLayout>
              <c:x val="-4.0507226228577178E-2"/>
              <c:y val="-0.18690934989910191"/>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layout>
            <c:manualLayout>
              <c:x val="-4.0507226228577178E-2"/>
              <c:y val="-0.1869093498991018"/>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layout>
            <c:manualLayout>
              <c:x val="-4.0507226228577178E-2"/>
              <c:y val="-0.22711035492422743"/>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none"/>
        </c:marker>
        <c:dLbl>
          <c:idx val="0"/>
          <c:layout>
            <c:manualLayout>
              <c:x val="-4.0507226228577178E-2"/>
              <c:y val="-0.1969596011553832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2"/>
            </a:solidFill>
            <a:round/>
          </a:ln>
          <a:effectLst/>
        </c:spPr>
        <c:marker>
          <c:symbol val="none"/>
        </c:marker>
        <c:dLbl>
          <c:idx val="0"/>
          <c:layout>
            <c:manualLayout>
              <c:x val="-3.7163816205919527E-2"/>
              <c:y val="-0.20700985241166461"/>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2"/>
            </a:solidFill>
            <a:round/>
          </a:ln>
          <a:effectLst/>
        </c:spPr>
        <c:marker>
          <c:symbol val="none"/>
        </c:marker>
        <c:dLbl>
          <c:idx val="0"/>
          <c:layout>
            <c:manualLayout>
              <c:x val="-2.4575566296136348E-2"/>
              <c:y val="-0.16680884738653909"/>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6528925619834711E-2"/>
          <c:y val="0.45573457840383019"/>
          <c:w val="0.96694214876033058"/>
          <c:h val="0.34063071261820915"/>
        </c:manualLayout>
      </c:layout>
      <c:lineChart>
        <c:grouping val="standard"/>
        <c:varyColors val="0"/>
        <c:ser>
          <c:idx val="0"/>
          <c:order val="0"/>
          <c:tx>
            <c:strRef>
              <c:f>'Pivot Sheet'!$B$3:$B$4</c:f>
              <c:strCache>
                <c:ptCount val="1"/>
                <c:pt idx="0">
                  <c:v>2024</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5-4548-4F8F-8A12-137CEFCEFF82}"/>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6-4548-4F8F-8A12-137CEFCEFF82}"/>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7-4548-4F8F-8A12-137CEFCEFF82}"/>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8-4548-4F8F-8A12-137CEFCEFF82}"/>
              </c:ext>
            </c:extLst>
          </c:dPt>
          <c:dLbls>
            <c:dLbl>
              <c:idx val="0"/>
              <c:layout>
                <c:manualLayout>
                  <c:x val="-4.0507226228577178E-2"/>
                  <c:y val="-0.207009852411664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48-4F8F-8A12-137CEFCEFF82}"/>
                </c:ext>
              </c:extLst>
            </c:dLbl>
            <c:dLbl>
              <c:idx val="1"/>
              <c:layout>
                <c:manualLayout>
                  <c:x val="-4.0169075409525724E-2"/>
                  <c:y val="-0.19695960115538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548-4F8F-8A12-137CEFCEFF82}"/>
                </c:ext>
              </c:extLst>
            </c:dLbl>
            <c:dLbl>
              <c:idx val="2"/>
              <c:layout>
                <c:manualLayout>
                  <c:x val="-4.0507226228577206E-2"/>
                  <c:y val="-0.227110354924227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48-4F8F-8A12-137CEFCEFF82}"/>
                </c:ext>
              </c:extLst>
            </c:dLbl>
            <c:dLbl>
              <c:idx val="3"/>
              <c:layout>
                <c:manualLayout>
                  <c:x val="-4.0507226228577178E-2"/>
                  <c:y val="-0.1668088473865390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548-4F8F-8A12-137CEFCEFF82}"/>
                </c:ext>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Sheet'!$B$5:$B$17</c:f>
              <c:numCache>
                <c:formatCode>[$₦-46A]#,##0</c:formatCode>
                <c:ptCount val="12"/>
                <c:pt idx="0">
                  <c:v>129233972</c:v>
                </c:pt>
                <c:pt idx="1">
                  <c:v>79825029</c:v>
                </c:pt>
                <c:pt idx="2">
                  <c:v>117966864</c:v>
                </c:pt>
                <c:pt idx="3">
                  <c:v>137102640</c:v>
                </c:pt>
                <c:pt idx="4">
                  <c:v>81526406</c:v>
                </c:pt>
                <c:pt idx="5">
                  <c:v>94418363</c:v>
                </c:pt>
                <c:pt idx="6">
                  <c:v>64639360</c:v>
                </c:pt>
                <c:pt idx="7">
                  <c:v>184986693</c:v>
                </c:pt>
                <c:pt idx="8">
                  <c:v>106871462</c:v>
                </c:pt>
                <c:pt idx="9">
                  <c:v>78099926</c:v>
                </c:pt>
                <c:pt idx="10">
                  <c:v>53996658</c:v>
                </c:pt>
                <c:pt idx="11">
                  <c:v>66069843</c:v>
                </c:pt>
              </c:numCache>
            </c:numRef>
          </c:val>
          <c:smooth val="0"/>
          <c:extLst>
            <c:ext xmlns:c16="http://schemas.microsoft.com/office/drawing/2014/chart" uri="{C3380CC4-5D6E-409C-BE32-E72D297353CC}">
              <c16:uniqueId val="{00000000-4548-4F8F-8A12-137CEFCEFF82}"/>
            </c:ext>
          </c:extLst>
        </c:ser>
        <c:ser>
          <c:idx val="1"/>
          <c:order val="1"/>
          <c:tx>
            <c:strRef>
              <c:f>'Pivot Sheet'!$C$3:$C$4</c:f>
              <c:strCache>
                <c:ptCount val="1"/>
                <c:pt idx="0">
                  <c:v>2025</c:v>
                </c:pt>
              </c:strCache>
            </c:strRef>
          </c:tx>
          <c:spPr>
            <a:ln w="28575" cap="rnd">
              <a:solidFill>
                <a:schemeClr val="accent2"/>
              </a:solidFill>
              <a:round/>
            </a:ln>
            <a:effectLst/>
          </c:spPr>
          <c:marker>
            <c:symbol val="none"/>
          </c:marker>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0-41E0-4A42-8F7C-345E05B5EB0D}"/>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1-41E0-4A42-8F7C-345E05B5EB0D}"/>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2-41E0-4A42-8F7C-345E05B5EB0D}"/>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3-41E0-4A42-8F7C-345E05B5EB0D}"/>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04-41E0-4A42-8F7C-345E05B5EB0D}"/>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5-41E0-4A42-8F7C-345E05B5EB0D}"/>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06-41E0-4A42-8F7C-345E05B5EB0D}"/>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07-41E0-4A42-8F7C-345E05B5EB0D}"/>
              </c:ext>
            </c:extLst>
          </c:dPt>
          <c:dLbls>
            <c:dLbl>
              <c:idx val="4"/>
              <c:layout>
                <c:manualLayout>
                  <c:x val="-4.1671705011328879E-2"/>
                  <c:y val="-0.2371606061805088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1E0-4A42-8F7C-345E05B5EB0D}"/>
                </c:ext>
              </c:extLst>
            </c:dLbl>
            <c:dLbl>
              <c:idx val="5"/>
              <c:layout>
                <c:manualLayout>
                  <c:x val="-4.0507226228577178E-2"/>
                  <c:y val="-0.1869093498991019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1E0-4A42-8F7C-345E05B5EB0D}"/>
                </c:ext>
              </c:extLst>
            </c:dLbl>
            <c:dLbl>
              <c:idx val="6"/>
              <c:layout>
                <c:manualLayout>
                  <c:x val="-4.0507226228577178E-2"/>
                  <c:y val="-0.186909349899101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1E0-4A42-8F7C-345E05B5EB0D}"/>
                </c:ext>
              </c:extLst>
            </c:dLbl>
            <c:dLbl>
              <c:idx val="7"/>
              <c:layout>
                <c:manualLayout>
                  <c:x val="-3.9004596626774017E-2"/>
                  <c:y val="7.34689194001502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1E0-4A42-8F7C-345E05B5EB0D}"/>
                </c:ext>
              </c:extLst>
            </c:dLbl>
            <c:dLbl>
              <c:idx val="8"/>
              <c:layout>
                <c:manualLayout>
                  <c:x val="-4.0507226228577178E-2"/>
                  <c:y val="-0.2271103549242274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1E0-4A42-8F7C-345E05B5EB0D}"/>
                </c:ext>
              </c:extLst>
            </c:dLbl>
            <c:dLbl>
              <c:idx val="9"/>
              <c:layout>
                <c:manualLayout>
                  <c:x val="-4.0507226228577178E-2"/>
                  <c:y val="-0.1969596011553832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1E0-4A42-8F7C-345E05B5EB0D}"/>
                </c:ext>
              </c:extLst>
            </c:dLbl>
            <c:dLbl>
              <c:idx val="10"/>
              <c:layout>
                <c:manualLayout>
                  <c:x val="-3.7163816205919527E-2"/>
                  <c:y val="-0.207009852411664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1E0-4A42-8F7C-345E05B5EB0D}"/>
                </c:ext>
              </c:extLst>
            </c:dLbl>
            <c:dLbl>
              <c:idx val="11"/>
              <c:layout>
                <c:manualLayout>
                  <c:x val="-2.4575566296136348E-2"/>
                  <c:y val="-0.166808847386539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1E0-4A42-8F7C-345E05B5EB0D}"/>
                </c:ext>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Sheet'!$C$5:$C$17</c:f>
              <c:numCache>
                <c:formatCode>[$₦-46A]#,##0</c:formatCode>
                <c:ptCount val="12"/>
                <c:pt idx="0">
                  <c:v>93638196</c:v>
                </c:pt>
                <c:pt idx="1">
                  <c:v>60118920</c:v>
                </c:pt>
                <c:pt idx="2">
                  <c:v>79396134</c:v>
                </c:pt>
                <c:pt idx="3">
                  <c:v>73739681</c:v>
                </c:pt>
                <c:pt idx="4">
                  <c:v>86971623</c:v>
                </c:pt>
                <c:pt idx="5">
                  <c:v>113305960</c:v>
                </c:pt>
                <c:pt idx="6">
                  <c:v>128740732</c:v>
                </c:pt>
                <c:pt idx="7">
                  <c:v>160191257</c:v>
                </c:pt>
                <c:pt idx="8">
                  <c:v>101507100</c:v>
                </c:pt>
                <c:pt idx="9">
                  <c:v>108339077</c:v>
                </c:pt>
                <c:pt idx="10">
                  <c:v>88634333</c:v>
                </c:pt>
                <c:pt idx="11">
                  <c:v>126759373</c:v>
                </c:pt>
              </c:numCache>
            </c:numRef>
          </c:val>
          <c:smooth val="0"/>
          <c:extLst>
            <c:ext xmlns:c16="http://schemas.microsoft.com/office/drawing/2014/chart" uri="{C3380CC4-5D6E-409C-BE32-E72D297353CC}">
              <c16:uniqueId val="{00000013-4548-4F8F-8A12-137CEFCEFF82}"/>
            </c:ext>
          </c:extLst>
        </c:ser>
        <c:dLbls>
          <c:dLblPos val="t"/>
          <c:showLegendKey val="0"/>
          <c:showVal val="1"/>
          <c:showCatName val="0"/>
          <c:showSerName val="0"/>
          <c:showPercent val="0"/>
          <c:showBubbleSize val="0"/>
        </c:dLbls>
        <c:smooth val="0"/>
        <c:axId val="421352880"/>
        <c:axId val="542609696"/>
      </c:lineChart>
      <c:catAx>
        <c:axId val="4213528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42609696"/>
        <c:crosses val="autoZero"/>
        <c:auto val="1"/>
        <c:lblAlgn val="ctr"/>
        <c:lblOffset val="100"/>
        <c:noMultiLvlLbl val="0"/>
      </c:catAx>
      <c:valAx>
        <c:axId val="542609696"/>
        <c:scaling>
          <c:orientation val="minMax"/>
        </c:scaling>
        <c:delete val="1"/>
        <c:axPos val="l"/>
        <c:numFmt formatCode="[$₦-46A]#,##0" sourceLinked="1"/>
        <c:majorTickMark val="none"/>
        <c:minorTickMark val="none"/>
        <c:tickLblPos val="nextTo"/>
        <c:crossAx val="421352880"/>
        <c:crosses val="autoZero"/>
        <c:crossBetween val="between"/>
      </c:valAx>
      <c:spPr>
        <a:noFill/>
        <a:ln>
          <a:noFill/>
        </a:ln>
        <a:effectLst/>
      </c:spPr>
    </c:plotArea>
    <c:legend>
      <c:legendPos val="t"/>
      <c:layout>
        <c:manualLayout>
          <c:xMode val="edge"/>
          <c:yMode val="edge"/>
          <c:x val="0.75441317581357925"/>
          <c:y val="4.8690476190476228E-2"/>
          <c:w val="0.23647781254991515"/>
          <c:h val="0.20089426321709783"/>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[Zone X Financial Analysis.xlsx]Pivot Sheet!monthly profit margin</c:name>
    <c:fmtId val="3"/>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i="0" u="none" strike="noStrike" kern="1200" spc="0" baseline="0">
                <a:solidFill>
                  <a:sysClr val="window" lastClr="FFFFFF"/>
                </a:solidFill>
                <a:latin typeface="Arial" panose="020B0604020202020204" pitchFamily="34" charset="0"/>
              </a:rPr>
              <a:t>Monthly Profit Margin      </a:t>
            </a:r>
            <a:r>
              <a:rPr lang="en-US" sz="1000" b="1" i="0" u="none" strike="noStrike" kern="1200" spc="0" baseline="0">
                <a:solidFill>
                  <a:schemeClr val="bg1"/>
                </a:solidFill>
                <a:latin typeface="Arial" panose="020B0604020202020204" pitchFamily="34" charset="0"/>
                <a:cs typeface="Arial" panose="020B0604020202020204" pitchFamily="34" charset="0"/>
              </a:rPr>
              <a:t>2024 VS 2025</a:t>
            </a:r>
            <a:endParaRPr lang="en-US" sz="1000" b="1" i="0" u="none" strike="noStrike" kern="1200" spc="0" baseline="0">
              <a:solidFill>
                <a:sysClr val="window" lastClr="FFFFFF"/>
              </a:solidFill>
              <a:latin typeface="Arial" panose="020B06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layout>
            <c:manualLayout>
              <c:x val="-3.4743975903614513E-2"/>
              <c:y val="-0.2282573769187943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layout>
            <c:manualLayout>
              <c:x val="-3.3237951807228917E-2"/>
              <c:y val="-0.2607456388393439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3.6250000000000011E-2"/>
              <c:y val="-0.2275964675686257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layout>
            <c:manualLayout>
              <c:x val="-3.3237951807228917E-2"/>
              <c:y val="-0.1944472962979075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layout>
            <c:manualLayout>
              <c:x val="-3.3237951807228917E-2"/>
              <c:y val="-0.1723478487840954"/>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3.6249999999999998E-2"/>
              <c:y val="-0.19444729629790755"/>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3.3237951807228917E-2"/>
              <c:y val="-0.2386461913255318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layout>
            <c:manualLayout>
              <c:x val="-2.871987951807229E-2"/>
              <c:y val="7.074607386783834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2"/>
            </a:solidFill>
            <a:round/>
          </a:ln>
          <a:effectLst/>
        </c:spPr>
        <c:marker>
          <c:symbol val="none"/>
        </c:marker>
        <c:dLbl>
          <c:idx val="0"/>
          <c:layout>
            <c:manualLayout>
              <c:x val="-3.3237951807229028E-2"/>
              <c:y val="-0.2386461913255318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2"/>
            </a:solidFill>
            <a:round/>
          </a:ln>
          <a:effectLst/>
        </c:spPr>
        <c:marker>
          <c:symbol val="none"/>
        </c:marker>
        <c:dLbl>
          <c:idx val="0"/>
          <c:layout>
            <c:manualLayout>
              <c:x val="-3.3237951807229028E-2"/>
              <c:y val="-0.18339757254100147"/>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layout>
            <c:manualLayout>
              <c:x val="-3.3237951807228917E-2"/>
              <c:y val="-0.23864619132553189"/>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2"/>
            </a:solidFill>
            <a:round/>
          </a:ln>
          <a:effectLst/>
        </c:spPr>
        <c:marker>
          <c:symbol val="none"/>
        </c:marker>
        <c:dLbl>
          <c:idx val="0"/>
          <c:layout>
            <c:manualLayout>
              <c:x val="-3.3403614457831327E-2"/>
              <c:y val="-0.22759646756862578"/>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layout>
            <c:manualLayout>
              <c:x val="-3.1897590361445786E-2"/>
              <c:y val="4.864662635402618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048192771084338E-2"/>
          <c:y val="0.3684595641014487"/>
          <c:w val="0.9668674698795181"/>
          <c:h val="0.39660503762996474"/>
        </c:manualLayout>
      </c:layout>
      <c:lineChart>
        <c:grouping val="standard"/>
        <c:varyColors val="0"/>
        <c:ser>
          <c:idx val="0"/>
          <c:order val="0"/>
          <c:tx>
            <c:strRef>
              <c:f>'Pivot Sheet'!$P$2:$P$3</c:f>
              <c:strCache>
                <c:ptCount val="1"/>
                <c:pt idx="0">
                  <c:v>2024</c:v>
                </c:pt>
              </c:strCache>
            </c:strRef>
          </c:tx>
          <c:spPr>
            <a:ln w="28575" cap="rnd">
              <a:solidFill>
                <a:schemeClr val="accent1"/>
              </a:solidFill>
              <a:round/>
            </a:ln>
            <a:effectLst/>
          </c:spPr>
          <c:marker>
            <c:symbol val="none"/>
          </c:marker>
          <c:dPt>
            <c:idx val="11"/>
            <c:marker>
              <c:symbol val="none"/>
            </c:marker>
            <c:bubble3D val="0"/>
            <c:spPr>
              <a:ln w="28575" cap="rnd">
                <a:solidFill>
                  <a:schemeClr val="accent1"/>
                </a:solidFill>
                <a:round/>
              </a:ln>
              <a:effectLst/>
            </c:spPr>
            <c:extLst>
              <c:ext xmlns:c16="http://schemas.microsoft.com/office/drawing/2014/chart" uri="{C3380CC4-5D6E-409C-BE32-E72D297353CC}">
                <c16:uniqueId val="{0000000E-2FBF-4481-B455-5938A35C150C}"/>
              </c:ext>
            </c:extLst>
          </c:dPt>
          <c:dLbls>
            <c:dLbl>
              <c:idx val="11"/>
              <c:layout>
                <c:manualLayout>
                  <c:x val="-3.1897590361445786E-2"/>
                  <c:y val="4.86466263540261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2FBF-4481-B455-5938A35C150C}"/>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Sheet'!$O$4:$O$16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Sheet'!$P$4:$P$16</c:f>
              <c:numCache>
                <c:formatCode>0.00%</c:formatCode>
                <c:ptCount val="12"/>
                <c:pt idx="0">
                  <c:v>0.47705595879994639</c:v>
                </c:pt>
                <c:pt idx="1">
                  <c:v>0.44761482640845629</c:v>
                </c:pt>
                <c:pt idx="2">
                  <c:v>0.34683230174232443</c:v>
                </c:pt>
                <c:pt idx="3">
                  <c:v>0.43306724241206213</c:v>
                </c:pt>
                <c:pt idx="4">
                  <c:v>0.39687177759333153</c:v>
                </c:pt>
                <c:pt idx="5">
                  <c:v>0.36210540543494019</c:v>
                </c:pt>
                <c:pt idx="6">
                  <c:v>0.42204426307227122</c:v>
                </c:pt>
                <c:pt idx="7">
                  <c:v>0.48469738522459849</c:v>
                </c:pt>
                <c:pt idx="8">
                  <c:v>0.38072027884900977</c:v>
                </c:pt>
                <c:pt idx="9">
                  <c:v>0.42560616217338726</c:v>
                </c:pt>
                <c:pt idx="10">
                  <c:v>0.41793539574788485</c:v>
                </c:pt>
                <c:pt idx="11">
                  <c:v>0.42499123292956981</c:v>
                </c:pt>
              </c:numCache>
            </c:numRef>
          </c:val>
          <c:smooth val="0"/>
          <c:extLst>
            <c:ext xmlns:c16="http://schemas.microsoft.com/office/drawing/2014/chart" uri="{C3380CC4-5D6E-409C-BE32-E72D297353CC}">
              <c16:uniqueId val="{00000000-2FBF-4481-B455-5938A35C150C}"/>
            </c:ext>
          </c:extLst>
        </c:ser>
        <c:ser>
          <c:idx val="1"/>
          <c:order val="1"/>
          <c:tx>
            <c:strRef>
              <c:f>'Pivot Sheet'!$Q$2:$Q$3</c:f>
              <c:strCache>
                <c:ptCount val="1"/>
                <c:pt idx="0">
                  <c:v>2025</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0-9510-46FA-BCD2-DB7A9D29A063}"/>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1-9510-46FA-BCD2-DB7A9D29A063}"/>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2-9510-46FA-BCD2-DB7A9D29A063}"/>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3-9510-46FA-BCD2-DB7A9D29A063}"/>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4-9510-46FA-BCD2-DB7A9D29A063}"/>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5-9510-46FA-BCD2-DB7A9D29A063}"/>
              </c:ext>
            </c:extLst>
          </c:dPt>
          <c:dPt>
            <c:idx val="6"/>
            <c:marker>
              <c:symbol val="none"/>
            </c:marker>
            <c:bubble3D val="0"/>
            <c:spPr>
              <a:ln w="28575" cap="rnd">
                <a:solidFill>
                  <a:schemeClr val="accent2"/>
                </a:solidFill>
                <a:round/>
              </a:ln>
              <a:effectLst/>
            </c:spPr>
            <c:extLst>
              <c:ext xmlns:c16="http://schemas.microsoft.com/office/drawing/2014/chart" uri="{C3380CC4-5D6E-409C-BE32-E72D297353CC}">
                <c16:uniqueId val="{00000006-9510-46FA-BCD2-DB7A9D29A063}"/>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7-9510-46FA-BCD2-DB7A9D29A063}"/>
              </c:ext>
            </c:extLst>
          </c:dPt>
          <c:dPt>
            <c:idx val="8"/>
            <c:marker>
              <c:symbol val="none"/>
            </c:marker>
            <c:bubble3D val="0"/>
            <c:spPr>
              <a:ln w="28575" cap="rnd">
                <a:solidFill>
                  <a:schemeClr val="accent2"/>
                </a:solidFill>
                <a:round/>
              </a:ln>
              <a:effectLst/>
            </c:spPr>
            <c:extLst>
              <c:ext xmlns:c16="http://schemas.microsoft.com/office/drawing/2014/chart" uri="{C3380CC4-5D6E-409C-BE32-E72D297353CC}">
                <c16:uniqueId val="{00000008-9510-46FA-BCD2-DB7A9D29A063}"/>
              </c:ext>
            </c:extLst>
          </c:dPt>
          <c:dPt>
            <c:idx val="9"/>
            <c:marker>
              <c:symbol val="none"/>
            </c:marker>
            <c:bubble3D val="0"/>
            <c:spPr>
              <a:ln w="28575" cap="rnd">
                <a:solidFill>
                  <a:schemeClr val="accent2"/>
                </a:solidFill>
                <a:round/>
              </a:ln>
              <a:effectLst/>
            </c:spPr>
            <c:extLst>
              <c:ext xmlns:c16="http://schemas.microsoft.com/office/drawing/2014/chart" uri="{C3380CC4-5D6E-409C-BE32-E72D297353CC}">
                <c16:uniqueId val="{00000009-9510-46FA-BCD2-DB7A9D29A063}"/>
              </c:ext>
            </c:extLst>
          </c:dPt>
          <c:dPt>
            <c:idx val="10"/>
            <c:marker>
              <c:symbol val="none"/>
            </c:marker>
            <c:bubble3D val="0"/>
            <c:spPr>
              <a:ln w="28575" cap="rnd">
                <a:solidFill>
                  <a:schemeClr val="accent2"/>
                </a:solidFill>
                <a:round/>
              </a:ln>
              <a:effectLst/>
            </c:spPr>
            <c:extLst>
              <c:ext xmlns:c16="http://schemas.microsoft.com/office/drawing/2014/chart" uri="{C3380CC4-5D6E-409C-BE32-E72D297353CC}">
                <c16:uniqueId val="{0000000A-9510-46FA-BCD2-DB7A9D29A063}"/>
              </c:ext>
            </c:extLst>
          </c:dPt>
          <c:dPt>
            <c:idx val="11"/>
            <c:marker>
              <c:symbol val="none"/>
            </c:marker>
            <c:bubble3D val="0"/>
            <c:spPr>
              <a:ln w="28575" cap="rnd">
                <a:solidFill>
                  <a:schemeClr val="accent2"/>
                </a:solidFill>
                <a:round/>
              </a:ln>
              <a:effectLst/>
            </c:spPr>
            <c:extLst>
              <c:ext xmlns:c16="http://schemas.microsoft.com/office/drawing/2014/chart" uri="{C3380CC4-5D6E-409C-BE32-E72D297353CC}">
                <c16:uniqueId val="{0000000B-9510-46FA-BCD2-DB7A9D29A063}"/>
              </c:ext>
            </c:extLst>
          </c:dPt>
          <c:dLbls>
            <c:dLbl>
              <c:idx val="0"/>
              <c:layout>
                <c:manualLayout>
                  <c:x val="-3.3237951807228917E-2"/>
                  <c:y val="-0.1944472962979075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510-46FA-BCD2-DB7A9D29A063}"/>
                </c:ext>
              </c:extLst>
            </c:dLbl>
            <c:dLbl>
              <c:idx val="1"/>
              <c:layout>
                <c:manualLayout>
                  <c:x val="-3.6250000000000011E-2"/>
                  <c:y val="-0.227596467568625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10-46FA-BCD2-DB7A9D29A063}"/>
                </c:ext>
              </c:extLst>
            </c:dLbl>
            <c:dLbl>
              <c:idx val="2"/>
              <c:layout>
                <c:manualLayout>
                  <c:x val="-3.3237951807228917E-2"/>
                  <c:y val="-0.2607456388393439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510-46FA-BCD2-DB7A9D29A063}"/>
                </c:ext>
              </c:extLst>
            </c:dLbl>
            <c:dLbl>
              <c:idx val="3"/>
              <c:layout>
                <c:manualLayout>
                  <c:x val="-3.4743975903614513E-2"/>
                  <c:y val="-0.2282573769187943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10-46FA-BCD2-DB7A9D29A063}"/>
                </c:ext>
              </c:extLst>
            </c:dLbl>
            <c:dLbl>
              <c:idx val="4"/>
              <c:layout>
                <c:manualLayout>
                  <c:x val="-3.3237951807228917E-2"/>
                  <c:y val="-0.17234784878409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510-46FA-BCD2-DB7A9D29A063}"/>
                </c:ext>
              </c:extLst>
            </c:dLbl>
            <c:dLbl>
              <c:idx val="5"/>
              <c:layout>
                <c:manualLayout>
                  <c:x val="-3.6249999999999998E-2"/>
                  <c:y val="-0.1944472962979075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10-46FA-BCD2-DB7A9D29A063}"/>
                </c:ext>
              </c:extLst>
            </c:dLbl>
            <c:dLbl>
              <c:idx val="6"/>
              <c:layout>
                <c:manualLayout>
                  <c:x val="-3.3237951807228917E-2"/>
                  <c:y val="-0.238646191325531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510-46FA-BCD2-DB7A9D29A063}"/>
                </c:ext>
              </c:extLst>
            </c:dLbl>
            <c:dLbl>
              <c:idx val="7"/>
              <c:layout>
                <c:manualLayout>
                  <c:x val="-2.871987951807229E-2"/>
                  <c:y val="7.07460738678383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510-46FA-BCD2-DB7A9D29A063}"/>
                </c:ext>
              </c:extLst>
            </c:dLbl>
            <c:dLbl>
              <c:idx val="8"/>
              <c:layout>
                <c:manualLayout>
                  <c:x val="-3.3237951807229028E-2"/>
                  <c:y val="-0.2386461913255318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510-46FA-BCD2-DB7A9D29A063}"/>
                </c:ext>
              </c:extLst>
            </c:dLbl>
            <c:dLbl>
              <c:idx val="9"/>
              <c:layout>
                <c:manualLayout>
                  <c:x val="-3.3237951807229028E-2"/>
                  <c:y val="-0.1833975725410014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510-46FA-BCD2-DB7A9D29A063}"/>
                </c:ext>
              </c:extLst>
            </c:dLbl>
            <c:dLbl>
              <c:idx val="10"/>
              <c:layout>
                <c:manualLayout>
                  <c:x val="-3.3237951807228917E-2"/>
                  <c:y val="-0.2386461913255318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510-46FA-BCD2-DB7A9D29A063}"/>
                </c:ext>
              </c:extLst>
            </c:dLbl>
            <c:dLbl>
              <c:idx val="11"/>
              <c:layout>
                <c:manualLayout>
                  <c:x val="-3.3403614457831327E-2"/>
                  <c:y val="-0.2275964675686257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510-46FA-BCD2-DB7A9D29A063}"/>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Sheet'!$O$4:$O$16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Sheet'!$Q$4:$Q$16</c:f>
              <c:numCache>
                <c:formatCode>0.00%</c:formatCode>
                <c:ptCount val="12"/>
                <c:pt idx="0">
                  <c:v>0.63241767127802528</c:v>
                </c:pt>
                <c:pt idx="1">
                  <c:v>0.50260223389315861</c:v>
                </c:pt>
                <c:pt idx="2">
                  <c:v>0.39652251909421066</c:v>
                </c:pt>
                <c:pt idx="3">
                  <c:v>0.6158001594507222</c:v>
                </c:pt>
                <c:pt idx="4">
                  <c:v>0.59448402912387832</c:v>
                </c:pt>
                <c:pt idx="5">
                  <c:v>0.51441155850499753</c:v>
                </c:pt>
                <c:pt idx="6">
                  <c:v>0.40655950492608484</c:v>
                </c:pt>
                <c:pt idx="7">
                  <c:v>0.40564492693790372</c:v>
                </c:pt>
                <c:pt idx="8">
                  <c:v>0.5089687936145697</c:v>
                </c:pt>
                <c:pt idx="9">
                  <c:v>0.58608581966797801</c:v>
                </c:pt>
                <c:pt idx="10">
                  <c:v>0.44116143016842474</c:v>
                </c:pt>
                <c:pt idx="11">
                  <c:v>0.47731388495774035</c:v>
                </c:pt>
              </c:numCache>
            </c:numRef>
          </c:val>
          <c:smooth val="0"/>
          <c:extLst>
            <c:ext xmlns:c16="http://schemas.microsoft.com/office/drawing/2014/chart" uri="{C3380CC4-5D6E-409C-BE32-E72D297353CC}">
              <c16:uniqueId val="{00000011-2FBF-4481-B455-5938A35C150C}"/>
            </c:ext>
          </c:extLst>
        </c:ser>
        <c:dLbls>
          <c:dLblPos val="t"/>
          <c:showLegendKey val="0"/>
          <c:showVal val="1"/>
          <c:showCatName val="0"/>
          <c:showSerName val="0"/>
          <c:showPercent val="0"/>
          <c:showBubbleSize val="0"/>
        </c:dLbls>
        <c:smooth val="0"/>
        <c:axId val="708458224"/>
        <c:axId val="542599136"/>
      </c:lineChart>
      <c:catAx>
        <c:axId val="70845822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42599136"/>
        <c:crosses val="autoZero"/>
        <c:auto val="1"/>
        <c:lblAlgn val="ctr"/>
        <c:lblOffset val="100"/>
        <c:noMultiLvlLbl val="0"/>
      </c:catAx>
      <c:valAx>
        <c:axId val="542599136"/>
        <c:scaling>
          <c:orientation val="minMax"/>
        </c:scaling>
        <c:delete val="1"/>
        <c:axPos val="l"/>
        <c:numFmt formatCode="0.00%" sourceLinked="1"/>
        <c:majorTickMark val="none"/>
        <c:minorTickMark val="none"/>
        <c:tickLblPos val="nextTo"/>
        <c:crossAx val="708458224"/>
        <c:crosses val="autoZero"/>
        <c:crossBetween val="between"/>
      </c:valAx>
      <c:spPr>
        <a:noFill/>
        <a:ln>
          <a:noFill/>
        </a:ln>
        <a:effectLst/>
      </c:spPr>
    </c:plotArea>
    <c:legend>
      <c:legendPos val="t"/>
      <c:layout>
        <c:manualLayout>
          <c:xMode val="edge"/>
          <c:yMode val="edge"/>
          <c:x val="0.79414453087942316"/>
          <c:y val="4.131313131313135E-2"/>
          <c:w val="0.19333732568067552"/>
          <c:h val="0.14015270818420428"/>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[Zone X Financial Analysis.xlsx]Pivot Sheet!PivotTable2</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bg1"/>
                </a:solidFill>
                <a:latin typeface="Arial" panose="020B0604020202020204" pitchFamily="34" charset="0"/>
                <a:cs typeface="Arial" panose="020B0604020202020204" pitchFamily="34" charset="0"/>
              </a:rPr>
              <a:t>Revenue by Product</a:t>
            </a:r>
          </a:p>
        </c:rich>
      </c:tx>
      <c:layout>
        <c:manualLayout>
          <c:xMode val="edge"/>
          <c:yMode val="edge"/>
          <c:x val="3.5956953946568032E-2"/>
          <c:y val="3.460207612456747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43774916257014829"/>
                  <c:h val="8.9500860585197933E-2"/>
                </c:manualLayout>
              </c15:layout>
            </c:ext>
          </c:extLst>
        </c:dLbl>
      </c:pivotFmt>
      <c:pivotFmt>
        <c:idx val="5"/>
        <c:spPr>
          <a:solidFill>
            <a:schemeClr val="accent2"/>
          </a:solidFill>
          <a:ln>
            <a:noFill/>
          </a:ln>
          <a:effectLst/>
        </c:spP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2795536607647802"/>
                  <c:h val="8.9500860585197933E-2"/>
                </c:manualLayout>
              </c15:layout>
            </c:ext>
          </c:extLst>
        </c:dLbl>
      </c:pivotFmt>
      <c:pivotFmt>
        <c:idx val="6"/>
        <c:spPr>
          <a:solidFill>
            <a:schemeClr val="accent1"/>
          </a:solidFill>
          <a:ln>
            <a:noFill/>
          </a:ln>
          <a:effectLst/>
        </c:spPr>
        <c:dLbl>
          <c:idx val="0"/>
          <c:layout>
            <c:manualLayout>
              <c:x val="4.0540554919683239E-2"/>
              <c:y val="-7.1041876685829522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7337016574585644"/>
                  <c:h val="8.9500860585197933E-2"/>
                </c:manualLayout>
              </c15:layout>
            </c:ext>
          </c:extLst>
        </c:dLbl>
      </c:pivotFmt>
      <c:pivotFmt>
        <c:idx val="7"/>
        <c:spPr>
          <a:solidFill>
            <a:schemeClr val="accent2"/>
          </a:solidFill>
          <a:ln>
            <a:noFill/>
          </a:ln>
          <a:effectLst/>
        </c:spPr>
        <c:dLbl>
          <c:idx val="0"/>
          <c:layout>
            <c:manualLayout>
              <c:x val="0"/>
              <c:y val="6.1819197340816763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4574585635359126"/>
                  <c:h val="8.9500860585197933E-2"/>
                </c:manualLayout>
              </c15:layout>
            </c:ext>
          </c:extLst>
        </c:dLbl>
      </c:pivotFmt>
    </c:pivotFmts>
    <c:plotArea>
      <c:layout>
        <c:manualLayout>
          <c:layoutTarget val="inner"/>
          <c:xMode val="edge"/>
          <c:yMode val="edge"/>
          <c:x val="4.9549567124057288E-2"/>
          <c:y val="0.23394490913549301"/>
          <c:w val="0.90090086575188544"/>
          <c:h val="0.58918780481159583"/>
        </c:manualLayout>
      </c:layout>
      <c:barChart>
        <c:barDir val="col"/>
        <c:grouping val="clustered"/>
        <c:varyColors val="0"/>
        <c:ser>
          <c:idx val="0"/>
          <c:order val="0"/>
          <c:tx>
            <c:strRef>
              <c:f>'Pivot Sheet'!$B$20:$B$21</c:f>
              <c:strCache>
                <c:ptCount val="1"/>
                <c:pt idx="0">
                  <c:v>2024</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E-F93F-415B-B88A-9C3B9215A7CA}"/>
              </c:ext>
            </c:extLst>
          </c:dPt>
          <c:dPt>
            <c:idx val="1"/>
            <c:invertIfNegative val="0"/>
            <c:bubble3D val="0"/>
            <c:spPr>
              <a:solidFill>
                <a:schemeClr val="accent1"/>
              </a:solidFill>
              <a:ln>
                <a:noFill/>
              </a:ln>
              <a:effectLst/>
            </c:spPr>
            <c:extLst>
              <c:ext xmlns:c16="http://schemas.microsoft.com/office/drawing/2014/chart" uri="{C3380CC4-5D6E-409C-BE32-E72D297353CC}">
                <c16:uniqueId val="{00000010-F93F-415B-B88A-9C3B9215A7CA}"/>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43774916257014829"/>
                      <c:h val="8.9500860585197933E-2"/>
                    </c:manualLayout>
                  </c15:layout>
                </c:ext>
                <c:ext xmlns:c16="http://schemas.microsoft.com/office/drawing/2014/chart" uri="{C3380CC4-5D6E-409C-BE32-E72D297353CC}">
                  <c16:uniqueId val="{0000000E-F93F-415B-B88A-9C3B9215A7CA}"/>
                </c:ext>
              </c:extLst>
            </c:dLbl>
            <c:dLbl>
              <c:idx val="1"/>
              <c:layout>
                <c:manualLayout>
                  <c:x val="4.0540554919683239E-2"/>
                  <c:y val="-7.1041876685829522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7337016574585644"/>
                      <c:h val="8.9500860585197933E-2"/>
                    </c:manualLayout>
                  </c15:layout>
                </c:ext>
                <c:ext xmlns:c16="http://schemas.microsoft.com/office/drawing/2014/chart" uri="{C3380CC4-5D6E-409C-BE32-E72D297353CC}">
                  <c16:uniqueId val="{00000010-F93F-415B-B88A-9C3B9215A7CA}"/>
                </c:ext>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Sheet'!$A$22:$A$24</c:f>
              <c:strCache>
                <c:ptCount val="2"/>
                <c:pt idx="0">
                  <c:v>Zen T-Shirt</c:v>
                </c:pt>
                <c:pt idx="1">
                  <c:v>Asobe Shirt</c:v>
                </c:pt>
              </c:strCache>
            </c:strRef>
          </c:cat>
          <c:val>
            <c:numRef>
              <c:f>'Pivot Sheet'!$B$22:$B$24</c:f>
              <c:numCache>
                <c:formatCode>[$₦-46A]#,##0.00</c:formatCode>
                <c:ptCount val="2"/>
                <c:pt idx="0">
                  <c:v>663550062</c:v>
                </c:pt>
                <c:pt idx="1">
                  <c:v>531187154</c:v>
                </c:pt>
              </c:numCache>
            </c:numRef>
          </c:val>
          <c:extLst>
            <c:ext xmlns:c16="http://schemas.microsoft.com/office/drawing/2014/chart" uri="{C3380CC4-5D6E-409C-BE32-E72D297353CC}">
              <c16:uniqueId val="{00000000-F93F-415B-B88A-9C3B9215A7CA}"/>
            </c:ext>
          </c:extLst>
        </c:ser>
        <c:ser>
          <c:idx val="1"/>
          <c:order val="1"/>
          <c:tx>
            <c:strRef>
              <c:f>'Pivot Sheet'!$C$20:$C$21</c:f>
              <c:strCache>
                <c:ptCount val="1"/>
                <c:pt idx="0">
                  <c:v>2025</c:v>
                </c:pt>
              </c:strCache>
            </c:strRef>
          </c:tx>
          <c:spPr>
            <a:solidFill>
              <a:schemeClr val="accent2"/>
            </a:solidFill>
            <a:ln>
              <a:noFill/>
            </a:ln>
            <a:effectLst/>
          </c:spPr>
          <c:invertIfNegative val="0"/>
          <c:dPt>
            <c:idx val="0"/>
            <c:invertIfNegative val="0"/>
            <c:bubble3D val="0"/>
            <c:spPr>
              <a:solidFill>
                <a:schemeClr val="accent2"/>
              </a:solidFill>
              <a:ln>
                <a:noFill/>
              </a:ln>
              <a:effectLst/>
            </c:spPr>
          </c:dPt>
          <c:dPt>
            <c:idx val="1"/>
            <c:invertIfNegative val="0"/>
            <c:bubble3D val="0"/>
            <c:spPr>
              <a:solidFill>
                <a:schemeClr val="accent2"/>
              </a:solidFill>
              <a:ln>
                <a:noFill/>
              </a:ln>
              <a:effectLst/>
            </c:spPr>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32795536607647802"/>
                      <c:h val="8.9500860585197933E-2"/>
                    </c:manualLayout>
                  </c15:layout>
                </c:ext>
              </c:extLst>
            </c:dLbl>
            <c:dLbl>
              <c:idx val="1"/>
              <c:layout>
                <c:manualLayout>
                  <c:x val="0"/>
                  <c:y val="6.181919734081676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4574585635359126"/>
                      <c:h val="8.9500860585197933E-2"/>
                    </c:manualLayout>
                  </c15:layout>
                </c:ext>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Sheet'!$A$22:$A$24</c:f>
              <c:strCache>
                <c:ptCount val="2"/>
                <c:pt idx="0">
                  <c:v>Zen T-Shirt</c:v>
                </c:pt>
                <c:pt idx="1">
                  <c:v>Asobe Shirt</c:v>
                </c:pt>
              </c:strCache>
            </c:strRef>
          </c:cat>
          <c:val>
            <c:numRef>
              <c:f>'Pivot Sheet'!$C$22:$C$24</c:f>
              <c:numCache>
                <c:formatCode>[$₦-46A]#,##0.00</c:formatCode>
                <c:ptCount val="2"/>
                <c:pt idx="0">
                  <c:v>871627450</c:v>
                </c:pt>
                <c:pt idx="1">
                  <c:v>349714936</c:v>
                </c:pt>
              </c:numCache>
            </c:numRef>
          </c:val>
          <c:extLst>
            <c:ext xmlns:c16="http://schemas.microsoft.com/office/drawing/2014/chart" uri="{C3380CC4-5D6E-409C-BE32-E72D297353CC}">
              <c16:uniqueId val="{00000009-9A7F-4338-B704-C4E048A47955}"/>
            </c:ext>
          </c:extLst>
        </c:ser>
        <c:dLbls>
          <c:dLblPos val="outEnd"/>
          <c:showLegendKey val="0"/>
          <c:showVal val="1"/>
          <c:showCatName val="0"/>
          <c:showSerName val="0"/>
          <c:showPercent val="0"/>
          <c:showBubbleSize val="0"/>
        </c:dLbls>
        <c:gapWidth val="182"/>
        <c:axId val="585056208"/>
        <c:axId val="542593376"/>
      </c:barChart>
      <c:catAx>
        <c:axId val="58505620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42593376"/>
        <c:crosses val="autoZero"/>
        <c:auto val="1"/>
        <c:lblAlgn val="ctr"/>
        <c:lblOffset val="100"/>
        <c:noMultiLvlLbl val="0"/>
      </c:catAx>
      <c:valAx>
        <c:axId val="542593376"/>
        <c:scaling>
          <c:orientation val="minMax"/>
        </c:scaling>
        <c:delete val="1"/>
        <c:axPos val="l"/>
        <c:numFmt formatCode="[$₦-46A]#,##0.00" sourceLinked="1"/>
        <c:majorTickMark val="none"/>
        <c:minorTickMark val="none"/>
        <c:tickLblPos val="nextTo"/>
        <c:crossAx val="58505620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[Zone X Financial Analysis.xlsx]Pivot Sheet!PivotTable4</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bg1"/>
                </a:solidFill>
                <a:latin typeface="Arial" panose="020B0604020202020204" pitchFamily="34" charset="0"/>
                <a:cs typeface="Arial" panose="020B0604020202020204" pitchFamily="34" charset="0"/>
              </a:rPr>
              <a:t>Profit Margin by Product</a:t>
            </a:r>
          </a:p>
        </c:rich>
      </c:tx>
      <c:layout>
        <c:manualLayout>
          <c:xMode val="edge"/>
          <c:yMode val="edge"/>
          <c:x val="8.3178482146440097E-4"/>
          <c:y val="4.2857142857142858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51443123938878E-2"/>
          <c:y val="0.30575028121484815"/>
          <c:w val="0.9252971137521222"/>
          <c:h val="0.54741169853768279"/>
        </c:manualLayout>
      </c:layout>
      <c:barChart>
        <c:barDir val="col"/>
        <c:grouping val="clustered"/>
        <c:varyColors val="0"/>
        <c:ser>
          <c:idx val="0"/>
          <c:order val="0"/>
          <c:tx>
            <c:strRef>
              <c:f>'Pivot Sheet'!$L$20:$L$21</c:f>
              <c:strCache>
                <c:ptCount val="1"/>
                <c:pt idx="0">
                  <c:v>2024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Sheet'!$K$22:$K$24</c:f>
              <c:strCache>
                <c:ptCount val="2"/>
                <c:pt idx="0">
                  <c:v>Zen T-Shirt</c:v>
                </c:pt>
                <c:pt idx="1">
                  <c:v>Asobe Shirt</c:v>
                </c:pt>
              </c:strCache>
            </c:strRef>
          </c:cat>
          <c:val>
            <c:numRef>
              <c:f>'Pivot Sheet'!$L$22:$L$24</c:f>
              <c:numCache>
                <c:formatCode>0.00%</c:formatCode>
                <c:ptCount val="2"/>
                <c:pt idx="0">
                  <c:v>0.48062236154314947</c:v>
                </c:pt>
                <c:pt idx="1">
                  <c:v>0.37264645191929868</c:v>
                </c:pt>
              </c:numCache>
            </c:numRef>
          </c:val>
          <c:extLst>
            <c:ext xmlns:c16="http://schemas.microsoft.com/office/drawing/2014/chart" uri="{C3380CC4-5D6E-409C-BE32-E72D297353CC}">
              <c16:uniqueId val="{00000000-2F94-47F5-97AC-D3544497DE68}"/>
            </c:ext>
          </c:extLst>
        </c:ser>
        <c:ser>
          <c:idx val="1"/>
          <c:order val="1"/>
          <c:tx>
            <c:strRef>
              <c:f>'Pivot Sheet'!$M$20:$M$21</c:f>
              <c:strCache>
                <c:ptCount val="1"/>
                <c:pt idx="0">
                  <c:v>2025</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Sheet'!$K$22:$K$24</c:f>
              <c:strCache>
                <c:ptCount val="2"/>
                <c:pt idx="0">
                  <c:v>Zen T-Shirt</c:v>
                </c:pt>
                <c:pt idx="1">
                  <c:v>Asobe Shirt</c:v>
                </c:pt>
              </c:strCache>
            </c:strRef>
          </c:cat>
          <c:val>
            <c:numRef>
              <c:f>'Pivot Sheet'!$M$22:$M$24</c:f>
              <c:numCache>
                <c:formatCode>0.00%</c:formatCode>
                <c:ptCount val="2"/>
                <c:pt idx="0">
                  <c:v>0.54875937144513087</c:v>
                </c:pt>
                <c:pt idx="1">
                  <c:v>0.43255107123340059</c:v>
                </c:pt>
              </c:numCache>
            </c:numRef>
          </c:val>
          <c:extLst>
            <c:ext xmlns:c16="http://schemas.microsoft.com/office/drawing/2014/chart" uri="{C3380CC4-5D6E-409C-BE32-E72D297353CC}">
              <c16:uniqueId val="{00000001-C70C-4532-AA65-BD4E3F75ABB0}"/>
            </c:ext>
          </c:extLst>
        </c:ser>
        <c:dLbls>
          <c:dLblPos val="outEnd"/>
          <c:showLegendKey val="0"/>
          <c:showVal val="1"/>
          <c:showCatName val="0"/>
          <c:showSerName val="0"/>
          <c:showPercent val="0"/>
          <c:showBubbleSize val="0"/>
        </c:dLbls>
        <c:gapWidth val="219"/>
        <c:overlap val="-27"/>
        <c:axId val="708422960"/>
        <c:axId val="373901504"/>
      </c:barChart>
      <c:catAx>
        <c:axId val="70842296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373901504"/>
        <c:crosses val="autoZero"/>
        <c:auto val="1"/>
        <c:lblAlgn val="ctr"/>
        <c:lblOffset val="100"/>
        <c:noMultiLvlLbl val="0"/>
      </c:catAx>
      <c:valAx>
        <c:axId val="373901504"/>
        <c:scaling>
          <c:orientation val="minMax"/>
        </c:scaling>
        <c:delete val="1"/>
        <c:axPos val="l"/>
        <c:numFmt formatCode="0.00%" sourceLinked="1"/>
        <c:majorTickMark val="none"/>
        <c:minorTickMark val="none"/>
        <c:tickLblPos val="nextTo"/>
        <c:crossAx val="708422960"/>
        <c:crosses val="autoZero"/>
        <c:crossBetween val="between"/>
      </c:valAx>
      <c:spPr>
        <a:noFill/>
        <a:ln>
          <a:noFill/>
        </a:ln>
        <a:effectLst/>
      </c:spPr>
    </c:plotArea>
    <c:legend>
      <c:legendPos val="b"/>
      <c:layout>
        <c:manualLayout>
          <c:xMode val="edge"/>
          <c:yMode val="edge"/>
          <c:x val="0.74105343368581478"/>
          <c:y val="4.3960067491563545E-2"/>
          <c:w val="0.21059262329050973"/>
          <c:h val="0.10603993250843645"/>
        </c:manualLayout>
      </c:layou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[Zone X Financial Analysis.xlsx]Pivot Sheet!PivotTable5</c:name>
    <c:fmtId val="1"/>
  </c:pivotSource>
  <c:chart>
    <c:title>
      <c:tx>
        <c:rich>
          <a:bodyPr rot="0" spcFirstLastPara="1" vertOverflow="ellipsis" vert="horz" wrap="square" anchor="ctr" anchorCtr="1"/>
          <a:lstStyle/>
          <a:p>
            <a:pPr algn="l">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bg1"/>
                </a:solidFill>
                <a:latin typeface="Arial" panose="020B0604020202020204" pitchFamily="34" charset="0"/>
                <a:cs typeface="Arial" panose="020B0604020202020204" pitchFamily="34" charset="0"/>
              </a:rPr>
              <a:t>Quarterly Profit</a:t>
            </a:r>
          </a:p>
        </c:rich>
      </c:tx>
      <c:layout>
        <c:manualLayout>
          <c:xMode val="edge"/>
          <c:yMode val="edge"/>
          <c:x val="7.8216128156394255E-2"/>
          <c:y val="3.5335689045936397E-2"/>
        </c:manualLayout>
      </c:layout>
      <c:overlay val="0"/>
      <c:spPr>
        <a:noFill/>
        <a:ln>
          <a:noFill/>
        </a:ln>
        <a:effectLst/>
      </c:spPr>
      <c:txPr>
        <a:bodyPr rot="0" spcFirstLastPara="1" vertOverflow="ellipsis" vert="horz" wrap="square" anchor="ctr" anchorCtr="1"/>
        <a:lstStyle/>
        <a:p>
          <a:pPr algn="l">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layout>
            <c:manualLayout>
              <c:x val="-0.10272875373336954"/>
              <c:y val="-0.14246348181742299"/>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layout>
            <c:manualLayout>
              <c:x val="-0.11004218968650138"/>
              <c:y val="-0.16259759049553435"/>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0.10588340495292978"/>
              <c:y val="-0.10570469798657724"/>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layout>
            <c:manualLayout>
              <c:x val="-0.10007623383947033"/>
              <c:y val="-8.0329428786066123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0.10437728440443618"/>
              <c:y val="-7.9617706797251109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layout>
            <c:manualLayout>
              <c:x val="-9.641968255545344E-2"/>
              <c:y val="6.2080536912751678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layout>
            <c:manualLayout>
              <c:x val="-7.4416403785489069E-2"/>
              <c:y val="-0.21979865771812088"/>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Sheet'!$Q$20:$Q$21</c:f>
              <c:strCache>
                <c:ptCount val="1"/>
                <c:pt idx="0">
                  <c:v>2024</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4-B7F5-4DB0-A835-3BCB92917969}"/>
              </c:ext>
            </c:extLst>
          </c:dPt>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C-B7F5-4DB0-A835-3BCB92917969}"/>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B-B7F5-4DB0-A835-3BCB92917969}"/>
              </c:ext>
            </c:extLst>
          </c:dPt>
          <c:dLbls>
            <c:dLbl>
              <c:idx val="0"/>
              <c:layout>
                <c:manualLayout>
                  <c:x val="-0.10588340495292978"/>
                  <c:y val="-0.1057046979865772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7F5-4DB0-A835-3BCB92917969}"/>
                </c:ext>
              </c:extLst>
            </c:dLbl>
            <c:dLbl>
              <c:idx val="1"/>
              <c:layout>
                <c:manualLayout>
                  <c:x val="-0.10437728440443618"/>
                  <c:y val="-7.96177067972511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7F5-4DB0-A835-3BCB92917969}"/>
                </c:ext>
              </c:extLst>
            </c:dLbl>
            <c:dLbl>
              <c:idx val="2"/>
              <c:layout>
                <c:manualLayout>
                  <c:x val="-0.10007623383947033"/>
                  <c:y val="-8.032942878606612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7F5-4DB0-A835-3BCB92917969}"/>
                </c:ext>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Sheet'!$P$22:$P$26</c:f>
              <c:strCache>
                <c:ptCount val="4"/>
                <c:pt idx="0">
                  <c:v>Q1</c:v>
                </c:pt>
                <c:pt idx="1">
                  <c:v>Q2</c:v>
                </c:pt>
                <c:pt idx="2">
                  <c:v>Q3</c:v>
                </c:pt>
                <c:pt idx="3">
                  <c:v>Q4</c:v>
                </c:pt>
              </c:strCache>
            </c:strRef>
          </c:cat>
          <c:val>
            <c:numRef>
              <c:f>'Pivot Sheet'!$Q$22:$Q$26</c:f>
              <c:numCache>
                <c:formatCode>[$₦-46A]#,##0.00</c:formatCode>
                <c:ptCount val="4"/>
                <c:pt idx="0">
                  <c:v>153603306</c:v>
                </c:pt>
                <c:pt idx="1">
                  <c:v>138605813</c:v>
                </c:pt>
                <c:pt idx="2">
                  <c:v>172014650</c:v>
                </c:pt>
                <c:pt idx="3">
                  <c:v>87809960</c:v>
                </c:pt>
              </c:numCache>
            </c:numRef>
          </c:val>
          <c:smooth val="0"/>
          <c:extLst>
            <c:ext xmlns:c16="http://schemas.microsoft.com/office/drawing/2014/chart" uri="{C3380CC4-5D6E-409C-BE32-E72D297353CC}">
              <c16:uniqueId val="{00000000-B7F5-4DB0-A835-3BCB92917969}"/>
            </c:ext>
          </c:extLst>
        </c:ser>
        <c:ser>
          <c:idx val="1"/>
          <c:order val="1"/>
          <c:tx>
            <c:strRef>
              <c:f>'Pivot Sheet'!$R$20:$R$21</c:f>
              <c:strCache>
                <c:ptCount val="1"/>
                <c:pt idx="0">
                  <c:v>2025</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dPt>
          <c:dPt>
            <c:idx val="1"/>
            <c:marker>
              <c:symbol val="none"/>
            </c:marker>
            <c:bubble3D val="0"/>
            <c:spPr>
              <a:ln w="28575" cap="rnd">
                <a:solidFill>
                  <a:schemeClr val="accent2"/>
                </a:solidFill>
                <a:round/>
              </a:ln>
              <a:effectLst/>
            </c:spPr>
          </c:dPt>
          <c:dPt>
            <c:idx val="2"/>
            <c:marker>
              <c:symbol val="none"/>
            </c:marker>
            <c:bubble3D val="0"/>
            <c:spPr>
              <a:ln w="28575" cap="rnd">
                <a:solidFill>
                  <a:schemeClr val="accent2"/>
                </a:solidFill>
                <a:round/>
              </a:ln>
              <a:effectLst/>
            </c:spPr>
          </c:dPt>
          <c:dPt>
            <c:idx val="3"/>
            <c:marker>
              <c:symbol val="none"/>
            </c:marker>
            <c:bubble3D val="0"/>
            <c:spPr>
              <a:ln w="28575" cap="rnd">
                <a:solidFill>
                  <a:schemeClr val="accent2"/>
                </a:solidFill>
                <a:round/>
              </a:ln>
              <a:effectLst/>
            </c:spPr>
          </c:dPt>
          <c:dLbls>
            <c:dLbl>
              <c:idx val="0"/>
              <c:layout>
                <c:manualLayout>
                  <c:x val="-9.641968255545344E-2"/>
                  <c:y val="6.208053691275167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
              <c:layout>
                <c:manualLayout>
                  <c:x val="-0.11004218968650138"/>
                  <c:y val="-0.16259759049553435"/>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0.10272875373336954"/>
                  <c:y val="-0.14246348181742299"/>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7.4416403785489069E-2"/>
                  <c:y val="-0.21979865771812088"/>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Sheet'!$P$22:$P$26</c:f>
              <c:strCache>
                <c:ptCount val="4"/>
                <c:pt idx="0">
                  <c:v>Q1</c:v>
                </c:pt>
                <c:pt idx="1">
                  <c:v>Q2</c:v>
                </c:pt>
                <c:pt idx="2">
                  <c:v>Q3</c:v>
                </c:pt>
                <c:pt idx="3">
                  <c:v>Q4</c:v>
                </c:pt>
              </c:strCache>
            </c:strRef>
          </c:cat>
          <c:val>
            <c:numRef>
              <c:f>'Pivot Sheet'!$R$22:$R$26</c:f>
              <c:numCache>
                <c:formatCode>[$₦-46A]#,##0.00</c:formatCode>
                <c:ptCount val="4"/>
                <c:pt idx="0">
                  <c:v>124721707</c:v>
                </c:pt>
                <c:pt idx="1">
                  <c:v>165235377</c:v>
                </c:pt>
                <c:pt idx="2">
                  <c:v>196843498</c:v>
                </c:pt>
                <c:pt idx="3">
                  <c:v>178335318</c:v>
                </c:pt>
              </c:numCache>
            </c:numRef>
          </c:val>
          <c:smooth val="0"/>
          <c:extLst>
            <c:ext xmlns:c16="http://schemas.microsoft.com/office/drawing/2014/chart" uri="{C3380CC4-5D6E-409C-BE32-E72D297353CC}">
              <c16:uniqueId val="{0000000F-FAFA-4C1C-98A0-8F52289AB083}"/>
            </c:ext>
          </c:extLst>
        </c:ser>
        <c:dLbls>
          <c:dLblPos val="t"/>
          <c:showLegendKey val="0"/>
          <c:showVal val="1"/>
          <c:showCatName val="0"/>
          <c:showSerName val="0"/>
          <c:showPercent val="0"/>
          <c:showBubbleSize val="0"/>
        </c:dLbls>
        <c:smooth val="0"/>
        <c:axId val="708445696"/>
        <c:axId val="542598656"/>
      </c:lineChart>
      <c:catAx>
        <c:axId val="7084456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542598656"/>
        <c:crosses val="autoZero"/>
        <c:auto val="1"/>
        <c:lblAlgn val="ctr"/>
        <c:lblOffset val="100"/>
        <c:noMultiLvlLbl val="0"/>
      </c:catAx>
      <c:valAx>
        <c:axId val="542598656"/>
        <c:scaling>
          <c:orientation val="minMax"/>
        </c:scaling>
        <c:delete val="1"/>
        <c:axPos val="l"/>
        <c:numFmt formatCode="[$₦-46A]#,##0.00" sourceLinked="1"/>
        <c:majorTickMark val="none"/>
        <c:minorTickMark val="none"/>
        <c:tickLblPos val="nextTo"/>
        <c:crossAx val="7084456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[Zone X Financial Analysis.xlsx]Pivot Sheet!PivotTable2</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bg1"/>
                </a:solidFill>
                <a:latin typeface="Arial" panose="020B0604020202020204" pitchFamily="34" charset="0"/>
                <a:cs typeface="Arial" panose="020B0604020202020204" pitchFamily="34" charset="0"/>
              </a:rPr>
              <a:t>Expenses by Product</a:t>
            </a:r>
          </a:p>
        </c:rich>
      </c:tx>
      <c:layout>
        <c:manualLayout>
          <c:xMode val="edge"/>
          <c:yMode val="edge"/>
          <c:x val="2.0926837237907219E-3"/>
          <c:y val="2.061855670103092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8105696310765563E-3"/>
              <c:y val="-8.9347079037800717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58132970920609E-2"/>
          <c:y val="0.28247422680412371"/>
          <c:w val="0.90308373405815878"/>
          <c:h val="0.51975972075655497"/>
        </c:manualLayout>
      </c:layout>
      <c:barChart>
        <c:barDir val="col"/>
        <c:grouping val="clustered"/>
        <c:varyColors val="0"/>
        <c:ser>
          <c:idx val="0"/>
          <c:order val="0"/>
          <c:tx>
            <c:strRef>
              <c:f>'Pivot Sheet'!$B$20:$B$21</c:f>
              <c:strCache>
                <c:ptCount val="1"/>
                <c:pt idx="0">
                  <c:v>2024</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2-167A-455D-A13A-2BF057A18E09}"/>
              </c:ext>
            </c:extLst>
          </c:dPt>
          <c:dLbls>
            <c:dLbl>
              <c:idx val="1"/>
              <c:layout>
                <c:manualLayout>
                  <c:x val="-8.8105696310765563E-3"/>
                  <c:y val="-8.934707903780071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7A-455D-A13A-2BF057A18E09}"/>
                </c:ext>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Sheet'!$A$22:$A$24</c:f>
              <c:strCache>
                <c:ptCount val="2"/>
                <c:pt idx="0">
                  <c:v>Zen T-Shirt</c:v>
                </c:pt>
                <c:pt idx="1">
                  <c:v>Asobe Shirt</c:v>
                </c:pt>
              </c:strCache>
            </c:strRef>
          </c:cat>
          <c:val>
            <c:numRef>
              <c:f>'Pivot Sheet'!$B$22:$B$24</c:f>
              <c:numCache>
                <c:formatCode>[$₦-46A]#,##0.00</c:formatCode>
                <c:ptCount val="2"/>
                <c:pt idx="0">
                  <c:v>663550062</c:v>
                </c:pt>
                <c:pt idx="1">
                  <c:v>531187154</c:v>
                </c:pt>
              </c:numCache>
            </c:numRef>
          </c:val>
          <c:extLst>
            <c:ext xmlns:c16="http://schemas.microsoft.com/office/drawing/2014/chart" uri="{C3380CC4-5D6E-409C-BE32-E72D297353CC}">
              <c16:uniqueId val="{00000000-167A-455D-A13A-2BF057A18E09}"/>
            </c:ext>
          </c:extLst>
        </c:ser>
        <c:ser>
          <c:idx val="1"/>
          <c:order val="1"/>
          <c:tx>
            <c:strRef>
              <c:f>'Pivot Sheet'!$C$20:$C$21</c:f>
              <c:strCache>
                <c:ptCount val="1"/>
                <c:pt idx="0">
                  <c:v>2025</c:v>
                </c:pt>
              </c:strCache>
            </c:strRef>
          </c:tx>
          <c:spPr>
            <a:solidFill>
              <a:schemeClr val="accent2"/>
            </a:solidFill>
            <a:ln>
              <a:noFill/>
            </a:ln>
            <a:effectLst/>
          </c:spPr>
          <c:invertIfNegative val="0"/>
          <c:dLbls>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Sheet'!$A$22:$A$24</c:f>
              <c:strCache>
                <c:ptCount val="2"/>
                <c:pt idx="0">
                  <c:v>Zen T-Shirt</c:v>
                </c:pt>
                <c:pt idx="1">
                  <c:v>Asobe Shirt</c:v>
                </c:pt>
              </c:strCache>
            </c:strRef>
          </c:cat>
          <c:val>
            <c:numRef>
              <c:f>'Pivot Sheet'!$C$22:$C$24</c:f>
              <c:numCache>
                <c:formatCode>[$₦-46A]#,##0.00</c:formatCode>
                <c:ptCount val="2"/>
                <c:pt idx="0">
                  <c:v>871627450</c:v>
                </c:pt>
                <c:pt idx="1">
                  <c:v>349714936</c:v>
                </c:pt>
              </c:numCache>
            </c:numRef>
          </c:val>
          <c:extLst>
            <c:ext xmlns:c16="http://schemas.microsoft.com/office/drawing/2014/chart" uri="{C3380CC4-5D6E-409C-BE32-E72D297353CC}">
              <c16:uniqueId val="{00000003-3A4C-444B-8086-486404392F67}"/>
            </c:ext>
          </c:extLst>
        </c:ser>
        <c:dLbls>
          <c:dLblPos val="outEnd"/>
          <c:showLegendKey val="0"/>
          <c:showVal val="1"/>
          <c:showCatName val="0"/>
          <c:showSerName val="0"/>
          <c:showPercent val="0"/>
          <c:showBubbleSize val="0"/>
        </c:dLbls>
        <c:gapWidth val="219"/>
        <c:overlap val="-27"/>
        <c:axId val="2041730592"/>
        <c:axId val="12591296"/>
      </c:barChart>
      <c:catAx>
        <c:axId val="20417305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12591296"/>
        <c:crosses val="autoZero"/>
        <c:auto val="1"/>
        <c:lblAlgn val="ctr"/>
        <c:lblOffset val="100"/>
        <c:noMultiLvlLbl val="0"/>
      </c:catAx>
      <c:valAx>
        <c:axId val="12591296"/>
        <c:scaling>
          <c:orientation val="minMax"/>
        </c:scaling>
        <c:delete val="1"/>
        <c:axPos val="l"/>
        <c:numFmt formatCode="[$₦-46A]#,##0.00" sourceLinked="1"/>
        <c:majorTickMark val="none"/>
        <c:minorTickMark val="none"/>
        <c:tickLblPos val="nextTo"/>
        <c:crossAx val="20417305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[Zone X Financial Analysis.xlsx]Pivot Sheet!PivotTable3</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bg1"/>
                </a:solidFill>
                <a:latin typeface="Arial" panose="020B0604020202020204" pitchFamily="34" charset="0"/>
                <a:cs typeface="Arial" panose="020B0604020202020204" pitchFamily="34" charset="0"/>
              </a:rPr>
              <a:t>Profit by Product</a:t>
            </a:r>
          </a:p>
        </c:rich>
      </c:tx>
      <c:layout>
        <c:manualLayout>
          <c:xMode val="edge"/>
          <c:yMode val="edge"/>
          <c:x val="4.6150234741784028E-2"/>
          <c:y val="4.2105263157894736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6581790912499575E-3"/>
              <c:y val="-5.8021549937836779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53904249264389159"/>
                  <c:h val="8.9347079037800689E-2"/>
                </c:manualLayout>
              </c15:layout>
            </c:ext>
          </c:extLst>
        </c:dLbl>
      </c:pivotFmt>
      <c:pivotFmt>
        <c:idx val="5"/>
        <c:spPr>
          <a:solidFill>
            <a:schemeClr val="accent2"/>
          </a:solidFill>
          <a:ln>
            <a:noFill/>
          </a:ln>
          <a:effectLst/>
        </c:spPr>
        <c:dLbl>
          <c:idx val="0"/>
          <c:layout>
            <c:manualLayout>
              <c:x val="0"/>
              <c:y val="8.8276557535571273E-2"/>
            </c:manualLayout>
          </c:layout>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6580302353466718"/>
                  <c:h val="8.9347079037800689E-2"/>
                </c:manualLayout>
              </c15:layout>
            </c:ext>
          </c:extLst>
        </c:dLbl>
      </c:pivotFmt>
      <c:pivotFmt>
        <c:idx val="6"/>
        <c:spPr>
          <a:solidFill>
            <a:schemeClr val="accent2"/>
          </a:solidFill>
          <a:ln>
            <a:noFill/>
          </a:ln>
          <a:effectLst/>
        </c:spP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3596199887412614"/>
                  <c:h val="8.9347079037800689E-2"/>
                </c:manualLayout>
              </c15:layout>
            </c:ext>
          </c:extLst>
        </c:dLbl>
      </c:pivotFmt>
      <c:pivotFmt>
        <c:idx val="7"/>
        <c:spPr>
          <a:solidFill>
            <a:schemeClr val="accent1"/>
          </a:solidFill>
          <a:ln>
            <a:noFill/>
          </a:ln>
          <a:effectLst/>
        </c:spPr>
        <c:dLbl>
          <c:idx val="0"/>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9256355442544283"/>
                  <c:h val="8.9347079037800689E-2"/>
                </c:manualLayout>
              </c15:layout>
            </c:ext>
          </c:extLst>
        </c:dLbl>
      </c:pivotFmt>
    </c:pivotFmts>
    <c:plotArea>
      <c:layout>
        <c:manualLayout>
          <c:layoutTarget val="inner"/>
          <c:xMode val="edge"/>
          <c:yMode val="edge"/>
          <c:x val="5.1643192488262914E-2"/>
          <c:y val="0.26529852189528935"/>
          <c:w val="0.89671361502347413"/>
          <c:h val="0.54833430031772346"/>
        </c:manualLayout>
      </c:layout>
      <c:barChart>
        <c:barDir val="col"/>
        <c:grouping val="clustered"/>
        <c:varyColors val="0"/>
        <c:ser>
          <c:idx val="0"/>
          <c:order val="0"/>
          <c:tx>
            <c:strRef>
              <c:f>'Pivot Sheet'!$G$20:$G$21</c:f>
              <c:strCache>
                <c:ptCount val="1"/>
                <c:pt idx="0">
                  <c:v>2024</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8DA6-40DA-83F3-41743491CE0E}"/>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2-8DA6-40DA-83F3-41743491CE0E}"/>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39256355442544283"/>
                      <c:h val="8.9347079037800689E-2"/>
                    </c:manualLayout>
                  </c15:layout>
                </c:ext>
                <c:ext xmlns:c16="http://schemas.microsoft.com/office/drawing/2014/chart" uri="{C3380CC4-5D6E-409C-BE32-E72D297353CC}">
                  <c16:uniqueId val="{00000005-8DA6-40DA-83F3-41743491CE0E}"/>
                </c:ext>
              </c:extLst>
            </c:dLbl>
            <c:dLbl>
              <c:idx val="1"/>
              <c:layout>
                <c:manualLayout>
                  <c:x val="8.6581790912499575E-3"/>
                  <c:y val="-5.8021549937836779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53904249264389159"/>
                      <c:h val="8.9347079037800689E-2"/>
                    </c:manualLayout>
                  </c15:layout>
                </c:ext>
                <c:ext xmlns:c16="http://schemas.microsoft.com/office/drawing/2014/chart" uri="{C3380CC4-5D6E-409C-BE32-E72D297353CC}">
                  <c16:uniqueId val="{00000002-8DA6-40DA-83F3-41743491CE0E}"/>
                </c:ext>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Sheet'!$F$22:$F$24</c:f>
              <c:strCache>
                <c:ptCount val="2"/>
                <c:pt idx="0">
                  <c:v>Zen T-Shirt</c:v>
                </c:pt>
                <c:pt idx="1">
                  <c:v>Asobe Shirt</c:v>
                </c:pt>
              </c:strCache>
            </c:strRef>
          </c:cat>
          <c:val>
            <c:numRef>
              <c:f>'Pivot Sheet'!$G$22:$G$24</c:f>
              <c:numCache>
                <c:formatCode>[$₦-46A]#,##0.00</c:formatCode>
                <c:ptCount val="2"/>
                <c:pt idx="0">
                  <c:v>348765103</c:v>
                </c:pt>
                <c:pt idx="1">
                  <c:v>203268626</c:v>
                </c:pt>
              </c:numCache>
            </c:numRef>
          </c:val>
          <c:extLst>
            <c:ext xmlns:c16="http://schemas.microsoft.com/office/drawing/2014/chart" uri="{C3380CC4-5D6E-409C-BE32-E72D297353CC}">
              <c16:uniqueId val="{00000000-8DA6-40DA-83F3-41743491CE0E}"/>
            </c:ext>
          </c:extLst>
        </c:ser>
        <c:ser>
          <c:idx val="1"/>
          <c:order val="1"/>
          <c:tx>
            <c:strRef>
              <c:f>'Pivot Sheet'!$H$20:$H$21</c:f>
              <c:strCache>
                <c:ptCount val="1"/>
                <c:pt idx="0">
                  <c:v>2025</c:v>
                </c:pt>
              </c:strCache>
            </c:strRef>
          </c:tx>
          <c:spPr>
            <a:solidFill>
              <a:schemeClr val="accent2"/>
            </a:solidFill>
            <a:ln>
              <a:noFill/>
            </a:ln>
            <a:effectLst/>
          </c:spPr>
          <c:invertIfNegative val="0"/>
          <c:dPt>
            <c:idx val="0"/>
            <c:invertIfNegative val="0"/>
            <c:bubble3D val="0"/>
            <c:spPr>
              <a:solidFill>
                <a:schemeClr val="accent2"/>
              </a:solidFill>
              <a:ln>
                <a:noFill/>
              </a:ln>
              <a:effectLst/>
            </c:spPr>
          </c:dPt>
          <c:dPt>
            <c:idx val="1"/>
            <c:invertIfNegative val="0"/>
            <c:bubble3D val="0"/>
            <c:spPr>
              <a:solidFill>
                <a:schemeClr val="accent2"/>
              </a:solidFill>
              <a:ln>
                <a:noFill/>
              </a:ln>
              <a:effectLst/>
            </c:spPr>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33596199887412614"/>
                      <c:h val="8.9347079037800689E-2"/>
                    </c:manualLayout>
                  </c15:layout>
                </c:ext>
              </c:extLst>
            </c:dLbl>
            <c:dLbl>
              <c:idx val="1"/>
              <c:layout>
                <c:manualLayout>
                  <c:x val="0"/>
                  <c:y val="8.8276557535571273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46580302353466718"/>
                      <c:h val="8.9347079037800689E-2"/>
                    </c:manualLayout>
                  </c15:layout>
                </c:ext>
              </c:extLst>
            </c:dLbl>
            <c:numFmt formatCode="[&gt;=1000000][$₦-46A]0.00,,&quot;M&quot;;[$₦-46A]0.00,&quot;K&quot;"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Sheet'!$F$22:$F$24</c:f>
              <c:strCache>
                <c:ptCount val="2"/>
                <c:pt idx="0">
                  <c:v>Zen T-Shirt</c:v>
                </c:pt>
                <c:pt idx="1">
                  <c:v>Asobe Shirt</c:v>
                </c:pt>
              </c:strCache>
            </c:strRef>
          </c:cat>
          <c:val>
            <c:numRef>
              <c:f>'Pivot Sheet'!$H$22:$H$24</c:f>
              <c:numCache>
                <c:formatCode>[$₦-46A]#,##0.00</c:formatCode>
                <c:ptCount val="2"/>
                <c:pt idx="0">
                  <c:v>518425326</c:v>
                </c:pt>
                <c:pt idx="1">
                  <c:v>146710574</c:v>
                </c:pt>
              </c:numCache>
            </c:numRef>
          </c:val>
          <c:extLst>
            <c:ext xmlns:c16="http://schemas.microsoft.com/office/drawing/2014/chart" uri="{C3380CC4-5D6E-409C-BE32-E72D297353CC}">
              <c16:uniqueId val="{00000009-6260-4CFC-802F-626AB7F89D96}"/>
            </c:ext>
          </c:extLst>
        </c:ser>
        <c:dLbls>
          <c:dLblPos val="outEnd"/>
          <c:showLegendKey val="0"/>
          <c:showVal val="1"/>
          <c:showCatName val="0"/>
          <c:showSerName val="0"/>
          <c:showPercent val="0"/>
          <c:showBubbleSize val="0"/>
        </c:dLbls>
        <c:gapWidth val="182"/>
        <c:axId val="708431312"/>
        <c:axId val="373897664"/>
      </c:barChart>
      <c:catAx>
        <c:axId val="70843131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373897664"/>
        <c:crosses val="autoZero"/>
        <c:auto val="1"/>
        <c:lblAlgn val="ctr"/>
        <c:lblOffset val="100"/>
        <c:noMultiLvlLbl val="0"/>
      </c:catAx>
      <c:valAx>
        <c:axId val="373897664"/>
        <c:scaling>
          <c:orientation val="minMax"/>
        </c:scaling>
        <c:delete val="1"/>
        <c:axPos val="l"/>
        <c:numFmt formatCode="[$₦-46A]#,##0.00" sourceLinked="1"/>
        <c:majorTickMark val="none"/>
        <c:minorTickMark val="none"/>
        <c:tickLblPos val="nextTo"/>
        <c:crossAx val="7084313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768350</xdr:colOff>
      <xdr:row>1</xdr:row>
      <xdr:rowOff>95250</xdr:rowOff>
    </xdr:from>
    <xdr:to>
      <xdr:col>17</xdr:col>
      <xdr:colOff>406400</xdr:colOff>
      <xdr:row>28</xdr:row>
      <xdr:rowOff>76200</xdr:rowOff>
    </xdr:to>
    <xdr:sp macro="" textlink="">
      <xdr:nvSpPr>
        <xdr:cNvPr id="2" name="Rectangle: Rounded Corners 1">
          <a:extLst>
            <a:ext uri="{FF2B5EF4-FFF2-40B4-BE49-F238E27FC236}">
              <a16:creationId xmlns:a16="http://schemas.microsoft.com/office/drawing/2014/main" id="{0C87874D-398C-05BC-82F7-2E15AFA8CECD}"/>
            </a:ext>
          </a:extLst>
        </xdr:cNvPr>
        <xdr:cNvSpPr/>
      </xdr:nvSpPr>
      <xdr:spPr>
        <a:xfrm>
          <a:off x="768350" y="279400"/>
          <a:ext cx="10820400" cy="4953000"/>
        </a:xfrm>
        <a:prstGeom prst="roundRect">
          <a:avLst>
            <a:gd name="adj" fmla="val 1626"/>
          </a:avLst>
        </a:prstGeom>
        <a:solidFill>
          <a:schemeClr val="bg1"/>
        </a:solidFill>
        <a:ln w="635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666750</xdr:colOff>
      <xdr:row>4</xdr:row>
      <xdr:rowOff>165100</xdr:rowOff>
    </xdr:from>
    <xdr:to>
      <xdr:col>17</xdr:col>
      <xdr:colOff>330200</xdr:colOff>
      <xdr:row>4</xdr:row>
      <xdr:rowOff>165100</xdr:rowOff>
    </xdr:to>
    <xdr:cxnSp macro="">
      <xdr:nvCxnSpPr>
        <xdr:cNvPr id="3" name="Straight Connector 2">
          <a:extLst>
            <a:ext uri="{FF2B5EF4-FFF2-40B4-BE49-F238E27FC236}">
              <a16:creationId xmlns:a16="http://schemas.microsoft.com/office/drawing/2014/main" id="{1AC1CEA2-F81F-40E1-A3BE-AF369DC23925}"/>
            </a:ext>
          </a:extLst>
        </xdr:cNvPr>
        <xdr:cNvCxnSpPr/>
      </xdr:nvCxnSpPr>
      <xdr:spPr>
        <a:xfrm>
          <a:off x="666750" y="901700"/>
          <a:ext cx="10845800" cy="0"/>
        </a:xfrm>
        <a:prstGeom prst="line">
          <a:avLst/>
        </a:prstGeom>
        <a:ln w="12700">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806450</xdr:colOff>
      <xdr:row>1</xdr:row>
      <xdr:rowOff>101600</xdr:rowOff>
    </xdr:from>
    <xdr:to>
      <xdr:col>17</xdr:col>
      <xdr:colOff>368300</xdr:colOff>
      <xdr:row>4</xdr:row>
      <xdr:rowOff>127000</xdr:rowOff>
    </xdr:to>
    <xdr:sp macro="" textlink="">
      <xdr:nvSpPr>
        <xdr:cNvPr id="5" name="Rectangle 4">
          <a:extLst>
            <a:ext uri="{FF2B5EF4-FFF2-40B4-BE49-F238E27FC236}">
              <a16:creationId xmlns:a16="http://schemas.microsoft.com/office/drawing/2014/main" id="{7A3158A2-596A-BF57-441D-D597A341D02D}"/>
            </a:ext>
          </a:extLst>
        </xdr:cNvPr>
        <xdr:cNvSpPr/>
      </xdr:nvSpPr>
      <xdr:spPr>
        <a:xfrm flipV="1">
          <a:off x="806450" y="285750"/>
          <a:ext cx="10744200" cy="57785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698500</xdr:colOff>
      <xdr:row>8</xdr:row>
      <xdr:rowOff>25400</xdr:rowOff>
    </xdr:from>
    <xdr:to>
      <xdr:col>17</xdr:col>
      <xdr:colOff>342900</xdr:colOff>
      <xdr:row>8</xdr:row>
      <xdr:rowOff>38100</xdr:rowOff>
    </xdr:to>
    <xdr:cxnSp macro="">
      <xdr:nvCxnSpPr>
        <xdr:cNvPr id="7" name="Straight Connector 6">
          <a:extLst>
            <a:ext uri="{FF2B5EF4-FFF2-40B4-BE49-F238E27FC236}">
              <a16:creationId xmlns:a16="http://schemas.microsoft.com/office/drawing/2014/main" id="{86451F6C-08A3-5CB6-D876-902057562AAD}"/>
            </a:ext>
          </a:extLst>
        </xdr:cNvPr>
        <xdr:cNvCxnSpPr/>
      </xdr:nvCxnSpPr>
      <xdr:spPr>
        <a:xfrm flipV="1">
          <a:off x="698500" y="1498600"/>
          <a:ext cx="10826750" cy="12700"/>
        </a:xfrm>
        <a:prstGeom prst="line">
          <a:avLst/>
        </a:prstGeom>
        <a:ln w="12700">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69850</xdr:colOff>
      <xdr:row>5</xdr:row>
      <xdr:rowOff>25400</xdr:rowOff>
    </xdr:from>
    <xdr:to>
      <xdr:col>4</xdr:col>
      <xdr:colOff>50800</xdr:colOff>
      <xdr:row>7</xdr:row>
      <xdr:rowOff>158750</xdr:rowOff>
    </xdr:to>
    <xdr:sp macro="" textlink="">
      <xdr:nvSpPr>
        <xdr:cNvPr id="9" name="Rectangle: Rounded Corners 8">
          <a:extLst>
            <a:ext uri="{FF2B5EF4-FFF2-40B4-BE49-F238E27FC236}">
              <a16:creationId xmlns:a16="http://schemas.microsoft.com/office/drawing/2014/main" id="{F2724104-4CAA-9EF9-4FED-9AC01B6C427F}"/>
            </a:ext>
          </a:extLst>
        </xdr:cNvPr>
        <xdr:cNvSpPr/>
      </xdr:nvSpPr>
      <xdr:spPr>
        <a:xfrm>
          <a:off x="895350" y="946150"/>
          <a:ext cx="1809750" cy="50165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292100</xdr:colOff>
      <xdr:row>5</xdr:row>
      <xdr:rowOff>25400</xdr:rowOff>
    </xdr:from>
    <xdr:to>
      <xdr:col>7</xdr:col>
      <xdr:colOff>349250</xdr:colOff>
      <xdr:row>7</xdr:row>
      <xdr:rowOff>171450</xdr:rowOff>
    </xdr:to>
    <xdr:sp macro="" textlink="">
      <xdr:nvSpPr>
        <xdr:cNvPr id="14" name="Rectangle: Rounded Corners 13">
          <a:extLst>
            <a:ext uri="{FF2B5EF4-FFF2-40B4-BE49-F238E27FC236}">
              <a16:creationId xmlns:a16="http://schemas.microsoft.com/office/drawing/2014/main" id="{6A4D229E-684E-60D4-97AA-627CD885B92E}"/>
            </a:ext>
          </a:extLst>
        </xdr:cNvPr>
        <xdr:cNvSpPr/>
      </xdr:nvSpPr>
      <xdr:spPr>
        <a:xfrm>
          <a:off x="2946400" y="946150"/>
          <a:ext cx="1885950" cy="51435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63500</xdr:colOff>
      <xdr:row>5</xdr:row>
      <xdr:rowOff>25400</xdr:rowOff>
    </xdr:from>
    <xdr:to>
      <xdr:col>11</xdr:col>
      <xdr:colOff>101600</xdr:colOff>
      <xdr:row>7</xdr:row>
      <xdr:rowOff>158750</xdr:rowOff>
    </xdr:to>
    <xdr:sp macro="" textlink="">
      <xdr:nvSpPr>
        <xdr:cNvPr id="15" name="Rectangle: Rounded Corners 14">
          <a:extLst>
            <a:ext uri="{FF2B5EF4-FFF2-40B4-BE49-F238E27FC236}">
              <a16:creationId xmlns:a16="http://schemas.microsoft.com/office/drawing/2014/main" id="{A8AF81C2-87D9-8E0E-4E78-E55F59844F7C}"/>
            </a:ext>
          </a:extLst>
        </xdr:cNvPr>
        <xdr:cNvSpPr/>
      </xdr:nvSpPr>
      <xdr:spPr>
        <a:xfrm>
          <a:off x="5156200" y="946150"/>
          <a:ext cx="1866900" cy="50165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463550</xdr:colOff>
      <xdr:row>5</xdr:row>
      <xdr:rowOff>25400</xdr:rowOff>
    </xdr:from>
    <xdr:to>
      <xdr:col>14</xdr:col>
      <xdr:colOff>88900</xdr:colOff>
      <xdr:row>7</xdr:row>
      <xdr:rowOff>158750</xdr:rowOff>
    </xdr:to>
    <xdr:sp macro="" textlink="">
      <xdr:nvSpPr>
        <xdr:cNvPr id="16" name="Rectangle: Rounded Corners 15">
          <a:extLst>
            <a:ext uri="{FF2B5EF4-FFF2-40B4-BE49-F238E27FC236}">
              <a16:creationId xmlns:a16="http://schemas.microsoft.com/office/drawing/2014/main" id="{CEEC6E86-864B-DCAA-4666-E2EB1C702F6E}"/>
            </a:ext>
          </a:extLst>
        </xdr:cNvPr>
        <xdr:cNvSpPr/>
      </xdr:nvSpPr>
      <xdr:spPr>
        <a:xfrm>
          <a:off x="7385050" y="946150"/>
          <a:ext cx="1689100" cy="50165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431800</xdr:colOff>
      <xdr:row>5</xdr:row>
      <xdr:rowOff>19050</xdr:rowOff>
    </xdr:from>
    <xdr:to>
      <xdr:col>17</xdr:col>
      <xdr:colOff>133350</xdr:colOff>
      <xdr:row>7</xdr:row>
      <xdr:rowOff>152400</xdr:rowOff>
    </xdr:to>
    <xdr:sp macro="" textlink="">
      <xdr:nvSpPr>
        <xdr:cNvPr id="17" name="Rectangle: Rounded Corners 16">
          <a:extLst>
            <a:ext uri="{FF2B5EF4-FFF2-40B4-BE49-F238E27FC236}">
              <a16:creationId xmlns:a16="http://schemas.microsoft.com/office/drawing/2014/main" id="{35C01B43-F17F-810C-B948-31589AC40932}"/>
            </a:ext>
          </a:extLst>
        </xdr:cNvPr>
        <xdr:cNvSpPr/>
      </xdr:nvSpPr>
      <xdr:spPr>
        <a:xfrm>
          <a:off x="9417050" y="939800"/>
          <a:ext cx="1898650" cy="50165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107950</xdr:colOff>
      <xdr:row>6</xdr:row>
      <xdr:rowOff>63500</xdr:rowOff>
    </xdr:from>
    <xdr:to>
      <xdr:col>3</xdr:col>
      <xdr:colOff>596900</xdr:colOff>
      <xdr:row>7</xdr:row>
      <xdr:rowOff>133350</xdr:rowOff>
    </xdr:to>
    <xdr:sp macro="" textlink="'Pivot Sheet'!$U$3">
      <xdr:nvSpPr>
        <xdr:cNvPr id="18" name="TextBox 17">
          <a:extLst>
            <a:ext uri="{FF2B5EF4-FFF2-40B4-BE49-F238E27FC236}">
              <a16:creationId xmlns:a16="http://schemas.microsoft.com/office/drawing/2014/main" id="{5B4036EA-444F-5E21-3A44-FB30A160DFBE}"/>
            </a:ext>
          </a:extLst>
        </xdr:cNvPr>
        <xdr:cNvSpPr txBox="1"/>
      </xdr:nvSpPr>
      <xdr:spPr>
        <a:xfrm>
          <a:off x="933450" y="1168400"/>
          <a:ext cx="170815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CB286B9-71BE-4536-A4C7-26C78EA881C6}" type="TxLink">
            <a:rPr lang="en-US" sz="1200" b="1" i="0" u="none" strike="noStrike">
              <a:solidFill>
                <a:schemeClr val="bg1"/>
              </a:solidFill>
              <a:latin typeface="Arial" panose="020B0604020202020204" pitchFamily="34" charset="0"/>
              <a:ea typeface="Calibri"/>
              <a:cs typeface="Arial" panose="020B0604020202020204" pitchFamily="34" charset="0"/>
            </a:rPr>
            <a:pPr algn="ctr"/>
            <a:t>₦2,416,079,602</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285750</xdr:colOff>
      <xdr:row>6</xdr:row>
      <xdr:rowOff>76200</xdr:rowOff>
    </xdr:from>
    <xdr:to>
      <xdr:col>7</xdr:col>
      <xdr:colOff>304800</xdr:colOff>
      <xdr:row>7</xdr:row>
      <xdr:rowOff>133350</xdr:rowOff>
    </xdr:to>
    <xdr:sp macro="" textlink="'Pivot Sheet'!$U$4">
      <xdr:nvSpPr>
        <xdr:cNvPr id="19" name="TextBox 18">
          <a:extLst>
            <a:ext uri="{FF2B5EF4-FFF2-40B4-BE49-F238E27FC236}">
              <a16:creationId xmlns:a16="http://schemas.microsoft.com/office/drawing/2014/main" id="{B1DBACD5-FD24-8800-07AE-6FB7CF0DBAD7}"/>
            </a:ext>
          </a:extLst>
        </xdr:cNvPr>
        <xdr:cNvSpPr txBox="1"/>
      </xdr:nvSpPr>
      <xdr:spPr>
        <a:xfrm>
          <a:off x="2940050" y="1181100"/>
          <a:ext cx="184785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EDA656E-CE8C-459D-B8C6-49D2402EF0ED}" type="TxLink">
            <a:rPr lang="en-US" sz="1200" b="1" i="0" u="none" strike="noStrike">
              <a:solidFill>
                <a:schemeClr val="bg1"/>
              </a:solidFill>
              <a:latin typeface="Arial" panose="020B0604020202020204" pitchFamily="34" charset="0"/>
              <a:ea typeface="Calibri"/>
              <a:cs typeface="Arial" panose="020B0604020202020204" pitchFamily="34" charset="0"/>
            </a:rPr>
            <a:pPr algn="ctr"/>
            <a:t>₦1,198,909,973</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8</xdr:col>
      <xdr:colOff>107950</xdr:colOff>
      <xdr:row>6</xdr:row>
      <xdr:rowOff>76200</xdr:rowOff>
    </xdr:from>
    <xdr:to>
      <xdr:col>11</xdr:col>
      <xdr:colOff>69850</xdr:colOff>
      <xdr:row>7</xdr:row>
      <xdr:rowOff>139700</xdr:rowOff>
    </xdr:to>
    <xdr:sp macro="" textlink="'Pivot Sheet'!$U$5">
      <xdr:nvSpPr>
        <xdr:cNvPr id="20" name="TextBox 19">
          <a:extLst>
            <a:ext uri="{FF2B5EF4-FFF2-40B4-BE49-F238E27FC236}">
              <a16:creationId xmlns:a16="http://schemas.microsoft.com/office/drawing/2014/main" id="{59ECFF67-A008-2F25-99E5-EDE14DD70B6C}"/>
            </a:ext>
          </a:extLst>
        </xdr:cNvPr>
        <xdr:cNvSpPr txBox="1"/>
      </xdr:nvSpPr>
      <xdr:spPr>
        <a:xfrm>
          <a:off x="5200650" y="1181100"/>
          <a:ext cx="17907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C8FB3A0-6502-482F-8E30-6A9648391BD5}" type="TxLink">
            <a:rPr lang="en-US" sz="1200" b="1" i="0" u="none" strike="noStrike">
              <a:solidFill>
                <a:schemeClr val="bg1"/>
              </a:solidFill>
              <a:latin typeface="Arial" panose="020B0604020202020204" pitchFamily="34" charset="0"/>
              <a:ea typeface="Calibri"/>
              <a:cs typeface="Arial" panose="020B0604020202020204" pitchFamily="34" charset="0"/>
            </a:rPr>
            <a:pPr algn="ctr"/>
            <a:t>₦1,217,169,629</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11</xdr:col>
      <xdr:colOff>444500</xdr:colOff>
      <xdr:row>6</xdr:row>
      <xdr:rowOff>69850</xdr:rowOff>
    </xdr:from>
    <xdr:to>
      <xdr:col>14</xdr:col>
      <xdr:colOff>25400</xdr:colOff>
      <xdr:row>7</xdr:row>
      <xdr:rowOff>120650</xdr:rowOff>
    </xdr:to>
    <xdr:sp macro="" textlink="'Pivot Sheet'!$U$6">
      <xdr:nvSpPr>
        <xdr:cNvPr id="21" name="TextBox 20">
          <a:extLst>
            <a:ext uri="{FF2B5EF4-FFF2-40B4-BE49-F238E27FC236}">
              <a16:creationId xmlns:a16="http://schemas.microsoft.com/office/drawing/2014/main" id="{644E6BEF-A00E-6302-B6C6-B0C28BF135C6}"/>
            </a:ext>
          </a:extLst>
        </xdr:cNvPr>
        <xdr:cNvSpPr txBox="1"/>
      </xdr:nvSpPr>
      <xdr:spPr>
        <a:xfrm>
          <a:off x="7366000" y="1174750"/>
          <a:ext cx="164465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6E59BF-F248-44F9-8F30-49781A9557DA}" type="TxLink">
            <a:rPr lang="en-US" sz="1200" b="1" i="0" u="none" strike="noStrike">
              <a:solidFill>
                <a:schemeClr val="bg1"/>
              </a:solidFill>
              <a:latin typeface="Arial" panose="020B0604020202020204" pitchFamily="34" charset="0"/>
              <a:ea typeface="Calibri"/>
              <a:cs typeface="Arial" panose="020B0604020202020204" pitchFamily="34" charset="0"/>
            </a:rPr>
            <a:pPr algn="ctr"/>
            <a:t>50.38%</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107950</xdr:colOff>
      <xdr:row>5</xdr:row>
      <xdr:rowOff>38100</xdr:rowOff>
    </xdr:from>
    <xdr:to>
      <xdr:col>3</xdr:col>
      <xdr:colOff>552450</xdr:colOff>
      <xdr:row>6</xdr:row>
      <xdr:rowOff>63500</xdr:rowOff>
    </xdr:to>
    <xdr:sp macro="" textlink="">
      <xdr:nvSpPr>
        <xdr:cNvPr id="22" name="TextBox 21">
          <a:extLst>
            <a:ext uri="{FF2B5EF4-FFF2-40B4-BE49-F238E27FC236}">
              <a16:creationId xmlns:a16="http://schemas.microsoft.com/office/drawing/2014/main" id="{02901849-0439-2F5A-A7D4-C4D6C4E0AFFB}"/>
            </a:ext>
          </a:extLst>
        </xdr:cNvPr>
        <xdr:cNvSpPr txBox="1"/>
      </xdr:nvSpPr>
      <xdr:spPr>
        <a:xfrm>
          <a:off x="933450" y="958850"/>
          <a:ext cx="16637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Total Revenue</a:t>
          </a:r>
        </a:p>
      </xdr:txBody>
    </xdr:sp>
    <xdr:clientData/>
  </xdr:twoCellAnchor>
  <xdr:twoCellAnchor>
    <xdr:from>
      <xdr:col>4</xdr:col>
      <xdr:colOff>342900</xdr:colOff>
      <xdr:row>5</xdr:row>
      <xdr:rowOff>25400</xdr:rowOff>
    </xdr:from>
    <xdr:to>
      <xdr:col>7</xdr:col>
      <xdr:colOff>177800</xdr:colOff>
      <xdr:row>6</xdr:row>
      <xdr:rowOff>95250</xdr:rowOff>
    </xdr:to>
    <xdr:sp macro="" textlink="">
      <xdr:nvSpPr>
        <xdr:cNvPr id="23" name="TextBox 22">
          <a:extLst>
            <a:ext uri="{FF2B5EF4-FFF2-40B4-BE49-F238E27FC236}">
              <a16:creationId xmlns:a16="http://schemas.microsoft.com/office/drawing/2014/main" id="{48DDD6CB-A9B8-A7A6-CFB8-A2390DEAD9AC}"/>
            </a:ext>
          </a:extLst>
        </xdr:cNvPr>
        <xdr:cNvSpPr txBox="1"/>
      </xdr:nvSpPr>
      <xdr:spPr>
        <a:xfrm>
          <a:off x="2997200" y="946150"/>
          <a:ext cx="1663700"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Total Expenses</a:t>
          </a:r>
        </a:p>
      </xdr:txBody>
    </xdr:sp>
    <xdr:clientData/>
  </xdr:twoCellAnchor>
  <xdr:twoCellAnchor>
    <xdr:from>
      <xdr:col>8</xdr:col>
      <xdr:colOff>127000</xdr:colOff>
      <xdr:row>5</xdr:row>
      <xdr:rowOff>57150</xdr:rowOff>
    </xdr:from>
    <xdr:to>
      <xdr:col>11</xdr:col>
      <xdr:colOff>25400</xdr:colOff>
      <xdr:row>6</xdr:row>
      <xdr:rowOff>139700</xdr:rowOff>
    </xdr:to>
    <xdr:sp macro="" textlink="">
      <xdr:nvSpPr>
        <xdr:cNvPr id="24" name="TextBox 23">
          <a:extLst>
            <a:ext uri="{FF2B5EF4-FFF2-40B4-BE49-F238E27FC236}">
              <a16:creationId xmlns:a16="http://schemas.microsoft.com/office/drawing/2014/main" id="{90B912C9-61F7-9EB6-C72C-AC9AABB2F405}"/>
            </a:ext>
          </a:extLst>
        </xdr:cNvPr>
        <xdr:cNvSpPr txBox="1"/>
      </xdr:nvSpPr>
      <xdr:spPr>
        <a:xfrm>
          <a:off x="5219700" y="977900"/>
          <a:ext cx="1727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Total Profit</a:t>
          </a:r>
        </a:p>
      </xdr:txBody>
    </xdr:sp>
    <xdr:clientData/>
  </xdr:twoCellAnchor>
  <xdr:twoCellAnchor>
    <xdr:from>
      <xdr:col>11</xdr:col>
      <xdr:colOff>444500</xdr:colOff>
      <xdr:row>5</xdr:row>
      <xdr:rowOff>57150</xdr:rowOff>
    </xdr:from>
    <xdr:to>
      <xdr:col>14</xdr:col>
      <xdr:colOff>6350</xdr:colOff>
      <xdr:row>6</xdr:row>
      <xdr:rowOff>88900</xdr:rowOff>
    </xdr:to>
    <xdr:sp macro="" textlink="">
      <xdr:nvSpPr>
        <xdr:cNvPr id="25" name="TextBox 24">
          <a:extLst>
            <a:ext uri="{FF2B5EF4-FFF2-40B4-BE49-F238E27FC236}">
              <a16:creationId xmlns:a16="http://schemas.microsoft.com/office/drawing/2014/main" id="{E611CFD8-FA0A-391F-D5EF-C87C0DE6EE5A}"/>
            </a:ext>
          </a:extLst>
        </xdr:cNvPr>
        <xdr:cNvSpPr txBox="1"/>
      </xdr:nvSpPr>
      <xdr:spPr>
        <a:xfrm>
          <a:off x="7366000" y="977900"/>
          <a:ext cx="16256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bg1"/>
              </a:solidFill>
              <a:effectLst/>
              <a:latin typeface="Arial" panose="020B0604020202020204" pitchFamily="34" charset="0"/>
              <a:ea typeface="+mn-ea"/>
              <a:cs typeface="Arial" panose="020B0604020202020204" pitchFamily="34" charset="0"/>
            </a:rPr>
            <a:t>Profit Margin</a:t>
          </a:r>
          <a:endParaRPr lang="en-US" sz="1200" b="1">
            <a:solidFill>
              <a:schemeClr val="bg1"/>
            </a:solidFill>
            <a:effectLst/>
            <a:latin typeface="Arial" panose="020B0604020202020204" pitchFamily="34" charset="0"/>
            <a:cs typeface="Arial" panose="020B0604020202020204" pitchFamily="34" charset="0"/>
          </a:endParaRPr>
        </a:p>
        <a:p>
          <a:endParaRPr lang="en-US" sz="1100"/>
        </a:p>
      </xdr:txBody>
    </xdr:sp>
    <xdr:clientData/>
  </xdr:twoCellAnchor>
  <xdr:twoCellAnchor>
    <xdr:from>
      <xdr:col>0</xdr:col>
      <xdr:colOff>787400</xdr:colOff>
      <xdr:row>22</xdr:row>
      <xdr:rowOff>19050</xdr:rowOff>
    </xdr:from>
    <xdr:to>
      <xdr:col>14</xdr:col>
      <xdr:colOff>241300</xdr:colOff>
      <xdr:row>28</xdr:row>
      <xdr:rowOff>6350</xdr:rowOff>
    </xdr:to>
    <xdr:sp macro="" textlink="">
      <xdr:nvSpPr>
        <xdr:cNvPr id="26" name="Rectangle: Rounded Corners 25">
          <a:extLst>
            <a:ext uri="{FF2B5EF4-FFF2-40B4-BE49-F238E27FC236}">
              <a16:creationId xmlns:a16="http://schemas.microsoft.com/office/drawing/2014/main" id="{10150659-56C3-A251-9901-8A3E4B8480D4}"/>
            </a:ext>
          </a:extLst>
        </xdr:cNvPr>
        <xdr:cNvSpPr/>
      </xdr:nvSpPr>
      <xdr:spPr>
        <a:xfrm>
          <a:off x="787400" y="4070350"/>
          <a:ext cx="8439150" cy="1092200"/>
        </a:xfrm>
        <a:prstGeom prst="roundRect">
          <a:avLst>
            <a:gd name="adj" fmla="val 2381"/>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304800</xdr:colOff>
      <xdr:row>8</xdr:row>
      <xdr:rowOff>82550</xdr:rowOff>
    </xdr:from>
    <xdr:to>
      <xdr:col>17</xdr:col>
      <xdr:colOff>279400</xdr:colOff>
      <xdr:row>28</xdr:row>
      <xdr:rowOff>0</xdr:rowOff>
    </xdr:to>
    <xdr:sp macro="" textlink="">
      <xdr:nvSpPr>
        <xdr:cNvPr id="28" name="Rectangle: Rounded Corners 27">
          <a:extLst>
            <a:ext uri="{FF2B5EF4-FFF2-40B4-BE49-F238E27FC236}">
              <a16:creationId xmlns:a16="http://schemas.microsoft.com/office/drawing/2014/main" id="{8B568850-1C94-2C08-290B-8828949A8674}"/>
            </a:ext>
          </a:extLst>
        </xdr:cNvPr>
        <xdr:cNvSpPr/>
      </xdr:nvSpPr>
      <xdr:spPr>
        <a:xfrm>
          <a:off x="9290050" y="1555750"/>
          <a:ext cx="2171700" cy="3600450"/>
        </a:xfrm>
        <a:prstGeom prst="roundRect">
          <a:avLst>
            <a:gd name="adj" fmla="val 2988"/>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793750</xdr:colOff>
      <xdr:row>8</xdr:row>
      <xdr:rowOff>82550</xdr:rowOff>
    </xdr:from>
    <xdr:to>
      <xdr:col>14</xdr:col>
      <xdr:colOff>234950</xdr:colOff>
      <xdr:row>15</xdr:row>
      <xdr:rowOff>6350</xdr:rowOff>
    </xdr:to>
    <xdr:sp macro="" textlink="">
      <xdr:nvSpPr>
        <xdr:cNvPr id="31" name="Rectangle: Rounded Corners 30">
          <a:extLst>
            <a:ext uri="{FF2B5EF4-FFF2-40B4-BE49-F238E27FC236}">
              <a16:creationId xmlns:a16="http://schemas.microsoft.com/office/drawing/2014/main" id="{6AAABA84-C17B-0C0F-F928-0F67074F1C05}"/>
            </a:ext>
          </a:extLst>
        </xdr:cNvPr>
        <xdr:cNvSpPr/>
      </xdr:nvSpPr>
      <xdr:spPr>
        <a:xfrm>
          <a:off x="793750" y="1555750"/>
          <a:ext cx="8426450" cy="1212850"/>
        </a:xfrm>
        <a:prstGeom prst="roundRect">
          <a:avLst>
            <a:gd name="adj" fmla="val 0"/>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781050</xdr:colOff>
      <xdr:row>15</xdr:row>
      <xdr:rowOff>50800</xdr:rowOff>
    </xdr:from>
    <xdr:to>
      <xdr:col>14</xdr:col>
      <xdr:colOff>241300</xdr:colOff>
      <xdr:row>21</xdr:row>
      <xdr:rowOff>158750</xdr:rowOff>
    </xdr:to>
    <xdr:sp macro="" textlink="">
      <xdr:nvSpPr>
        <xdr:cNvPr id="32" name="Rectangle: Rounded Corners 31">
          <a:extLst>
            <a:ext uri="{FF2B5EF4-FFF2-40B4-BE49-F238E27FC236}">
              <a16:creationId xmlns:a16="http://schemas.microsoft.com/office/drawing/2014/main" id="{8F8B6761-BD64-C34B-4C8C-D0CF5366E9B4}"/>
            </a:ext>
          </a:extLst>
        </xdr:cNvPr>
        <xdr:cNvSpPr/>
      </xdr:nvSpPr>
      <xdr:spPr>
        <a:xfrm>
          <a:off x="781050" y="2813050"/>
          <a:ext cx="8445500" cy="1212850"/>
        </a:xfrm>
        <a:prstGeom prst="roundRect">
          <a:avLst>
            <a:gd name="adj" fmla="val 0"/>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311150</xdr:colOff>
      <xdr:row>8</xdr:row>
      <xdr:rowOff>57150</xdr:rowOff>
    </xdr:from>
    <xdr:to>
      <xdr:col>17</xdr:col>
      <xdr:colOff>361950</xdr:colOff>
      <xdr:row>27</xdr:row>
      <xdr:rowOff>139699</xdr:rowOff>
    </xdr:to>
    <xdr:graphicFrame macro="">
      <xdr:nvGraphicFramePr>
        <xdr:cNvPr id="35" name="Chart 3">
          <a:extLst>
            <a:ext uri="{FF2B5EF4-FFF2-40B4-BE49-F238E27FC236}">
              <a16:creationId xmlns:a16="http://schemas.microsoft.com/office/drawing/2014/main" id="{C91635C3-9B35-70CF-50E4-CA6B7EB12D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520700</xdr:colOff>
      <xdr:row>5</xdr:row>
      <xdr:rowOff>57150</xdr:rowOff>
    </xdr:from>
    <xdr:to>
      <xdr:col>17</xdr:col>
      <xdr:colOff>101600</xdr:colOff>
      <xdr:row>8</xdr:row>
      <xdr:rowOff>19050</xdr:rowOff>
    </xdr:to>
    <xdr:sp macro="" textlink="">
      <xdr:nvSpPr>
        <xdr:cNvPr id="36" name="TextBox 35">
          <a:extLst>
            <a:ext uri="{FF2B5EF4-FFF2-40B4-BE49-F238E27FC236}">
              <a16:creationId xmlns:a16="http://schemas.microsoft.com/office/drawing/2014/main" id="{89C6FFA2-BCF2-64FF-3DE9-122A2AAF11E6}"/>
            </a:ext>
          </a:extLst>
        </xdr:cNvPr>
        <xdr:cNvSpPr txBox="1"/>
      </xdr:nvSpPr>
      <xdr:spPr>
        <a:xfrm>
          <a:off x="9505950" y="977900"/>
          <a:ext cx="1778000" cy="514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YoY Profit Growth</a:t>
          </a:r>
          <a:br>
            <a:rPr lang="en-US" sz="1200" b="1">
              <a:solidFill>
                <a:schemeClr val="bg1"/>
              </a:solidFill>
              <a:latin typeface="Arial" panose="020B0604020202020204" pitchFamily="34" charset="0"/>
              <a:cs typeface="Arial" panose="020B0604020202020204" pitchFamily="34" charset="0"/>
            </a:rPr>
          </a:br>
          <a:r>
            <a:rPr lang="en-US" sz="1200" b="1" i="0" u="none" strike="noStrike">
              <a:solidFill>
                <a:schemeClr val="bg1"/>
              </a:solidFill>
              <a:effectLst/>
              <a:latin typeface="Arial" panose="020B0604020202020204" pitchFamily="34" charset="0"/>
              <a:ea typeface="+mn-ea"/>
              <a:cs typeface="Arial" panose="020B0604020202020204" pitchFamily="34" charset="0"/>
            </a:rPr>
            <a:t>20.49%</a:t>
          </a:r>
          <a:r>
            <a:rPr lang="en-US" sz="1200" b="1">
              <a:solidFill>
                <a:schemeClr val="bg1"/>
              </a:solidFill>
              <a:effectLst/>
              <a:latin typeface="Arial" panose="020B0604020202020204" pitchFamily="34" charset="0"/>
              <a:cs typeface="Arial" panose="020B0604020202020204" pitchFamily="34" charset="0"/>
            </a:rPr>
            <a:t> </a:t>
          </a:r>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12700</xdr:colOff>
      <xdr:row>1</xdr:row>
      <xdr:rowOff>158750</xdr:rowOff>
    </xdr:from>
    <xdr:to>
      <xdr:col>13</xdr:col>
      <xdr:colOff>6350</xdr:colOff>
      <xdr:row>4</xdr:row>
      <xdr:rowOff>38100</xdr:rowOff>
    </xdr:to>
    <xdr:sp macro="" textlink="">
      <xdr:nvSpPr>
        <xdr:cNvPr id="38" name="TextBox 37">
          <a:extLst>
            <a:ext uri="{FF2B5EF4-FFF2-40B4-BE49-F238E27FC236}">
              <a16:creationId xmlns:a16="http://schemas.microsoft.com/office/drawing/2014/main" id="{668AC971-8C34-055E-AA4A-474C1EAF7408}"/>
            </a:ext>
          </a:extLst>
        </xdr:cNvPr>
        <xdr:cNvSpPr txBox="1"/>
      </xdr:nvSpPr>
      <xdr:spPr>
        <a:xfrm>
          <a:off x="838200" y="342900"/>
          <a:ext cx="7308850"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Arial" panose="020B0604020202020204" pitchFamily="34" charset="0"/>
              <a:cs typeface="Arial" panose="020B0604020202020204" pitchFamily="34" charset="0"/>
            </a:rPr>
            <a:t>ZONE X FINANCIAL PERFORMANCE DASHBOARD  2024 vs 2025</a:t>
          </a:r>
        </a:p>
      </xdr:txBody>
    </xdr:sp>
    <xdr:clientData/>
  </xdr:twoCellAnchor>
  <xdr:twoCellAnchor>
    <xdr:from>
      <xdr:col>0</xdr:col>
      <xdr:colOff>791632</xdr:colOff>
      <xdr:row>15</xdr:row>
      <xdr:rowOff>57151</xdr:rowOff>
    </xdr:from>
    <xdr:to>
      <xdr:col>14</xdr:col>
      <xdr:colOff>222249</xdr:colOff>
      <xdr:row>21</xdr:row>
      <xdr:rowOff>171450</xdr:rowOff>
    </xdr:to>
    <xdr:graphicFrame macro="">
      <xdr:nvGraphicFramePr>
        <xdr:cNvPr id="10" name="Chart 6">
          <a:extLst>
            <a:ext uri="{FF2B5EF4-FFF2-40B4-BE49-F238E27FC236}">
              <a16:creationId xmlns:a16="http://schemas.microsoft.com/office/drawing/2014/main" id="{0F398219-A109-A059-4DF0-5CB1E534B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793750</xdr:colOff>
      <xdr:row>8</xdr:row>
      <xdr:rowOff>57151</xdr:rowOff>
    </xdr:from>
    <xdr:to>
      <xdr:col>14</xdr:col>
      <xdr:colOff>260350</xdr:colOff>
      <xdr:row>15</xdr:row>
      <xdr:rowOff>31751</xdr:rowOff>
    </xdr:to>
    <xdr:graphicFrame macro="">
      <xdr:nvGraphicFramePr>
        <xdr:cNvPr id="8" name="Chart 5">
          <a:extLst>
            <a:ext uri="{FF2B5EF4-FFF2-40B4-BE49-F238E27FC236}">
              <a16:creationId xmlns:a16="http://schemas.microsoft.com/office/drawing/2014/main" id="{DC362381-FD88-BB04-CB7C-53BD3518F4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6351</xdr:colOff>
      <xdr:row>21</xdr:row>
      <xdr:rowOff>158750</xdr:rowOff>
    </xdr:from>
    <xdr:to>
      <xdr:col>14</xdr:col>
      <xdr:colOff>279401</xdr:colOff>
      <xdr:row>28</xdr:row>
      <xdr:rowOff>19050</xdr:rowOff>
    </xdr:to>
    <xdr:graphicFrame macro="">
      <xdr:nvGraphicFramePr>
        <xdr:cNvPr id="11" name="Chart 7">
          <a:extLst>
            <a:ext uri="{FF2B5EF4-FFF2-40B4-BE49-F238E27FC236}">
              <a16:creationId xmlns:a16="http://schemas.microsoft.com/office/drawing/2014/main" id="{34AA457E-D937-6C18-C21C-CEECF04C0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584200</xdr:colOff>
      <xdr:row>1</xdr:row>
      <xdr:rowOff>152400</xdr:rowOff>
    </xdr:from>
    <xdr:to>
      <xdr:col>17</xdr:col>
      <xdr:colOff>298450</xdr:colOff>
      <xdr:row>4</xdr:row>
      <xdr:rowOff>120649</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0F7B356B-D2E3-4D1C-7167-0D7816C177A6}"/>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724900" y="336550"/>
              <a:ext cx="2755900" cy="520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539750</xdr:colOff>
      <xdr:row>1</xdr:row>
      <xdr:rowOff>19050</xdr:rowOff>
    </xdr:from>
    <xdr:to>
      <xdr:col>16</xdr:col>
      <xdr:colOff>215900</xdr:colOff>
      <xdr:row>27</xdr:row>
      <xdr:rowOff>158750</xdr:rowOff>
    </xdr:to>
    <xdr:sp macro="" textlink="">
      <xdr:nvSpPr>
        <xdr:cNvPr id="2" name="Rectangle: Rounded Corners 1">
          <a:extLst>
            <a:ext uri="{FF2B5EF4-FFF2-40B4-BE49-F238E27FC236}">
              <a16:creationId xmlns:a16="http://schemas.microsoft.com/office/drawing/2014/main" id="{616C49AB-62BD-4D64-A0F1-A3BBAF46BE06}"/>
            </a:ext>
          </a:extLst>
        </xdr:cNvPr>
        <xdr:cNvSpPr/>
      </xdr:nvSpPr>
      <xdr:spPr>
        <a:xfrm>
          <a:off x="1149350" y="203200"/>
          <a:ext cx="8820150" cy="4927600"/>
        </a:xfrm>
        <a:prstGeom prst="roundRect">
          <a:avLst>
            <a:gd name="adj" fmla="val 1626"/>
          </a:avLst>
        </a:prstGeom>
        <a:solidFill>
          <a:schemeClr val="bg1"/>
        </a:solidFill>
        <a:ln w="6350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584200</xdr:colOff>
      <xdr:row>1</xdr:row>
      <xdr:rowOff>50800</xdr:rowOff>
    </xdr:from>
    <xdr:to>
      <xdr:col>16</xdr:col>
      <xdr:colOff>177800</xdr:colOff>
      <xdr:row>3</xdr:row>
      <xdr:rowOff>171450</xdr:rowOff>
    </xdr:to>
    <xdr:sp macro="" textlink="">
      <xdr:nvSpPr>
        <xdr:cNvPr id="3" name="Rectangle 2">
          <a:extLst>
            <a:ext uri="{FF2B5EF4-FFF2-40B4-BE49-F238E27FC236}">
              <a16:creationId xmlns:a16="http://schemas.microsoft.com/office/drawing/2014/main" id="{24A08385-BF4A-454C-8C36-EFC5D5563817}"/>
            </a:ext>
          </a:extLst>
        </xdr:cNvPr>
        <xdr:cNvSpPr/>
      </xdr:nvSpPr>
      <xdr:spPr>
        <a:xfrm flipV="1">
          <a:off x="1193800" y="234950"/>
          <a:ext cx="8737600" cy="488950"/>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508000</xdr:colOff>
      <xdr:row>4</xdr:row>
      <xdr:rowOff>19050</xdr:rowOff>
    </xdr:from>
    <xdr:to>
      <xdr:col>16</xdr:col>
      <xdr:colOff>203200</xdr:colOff>
      <xdr:row>4</xdr:row>
      <xdr:rowOff>25400</xdr:rowOff>
    </xdr:to>
    <xdr:cxnSp macro="">
      <xdr:nvCxnSpPr>
        <xdr:cNvPr id="4" name="Straight Connector 3">
          <a:extLst>
            <a:ext uri="{FF2B5EF4-FFF2-40B4-BE49-F238E27FC236}">
              <a16:creationId xmlns:a16="http://schemas.microsoft.com/office/drawing/2014/main" id="{13ADD8B3-AB00-4A1C-90DF-E44C873DCEC6}"/>
            </a:ext>
          </a:extLst>
        </xdr:cNvPr>
        <xdr:cNvCxnSpPr/>
      </xdr:nvCxnSpPr>
      <xdr:spPr>
        <a:xfrm flipV="1">
          <a:off x="1117600" y="755650"/>
          <a:ext cx="8839200" cy="6350"/>
        </a:xfrm>
        <a:prstGeom prst="line">
          <a:avLst/>
        </a:prstGeom>
        <a:ln w="12700">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520700</xdr:colOff>
      <xdr:row>7</xdr:row>
      <xdr:rowOff>38100</xdr:rowOff>
    </xdr:from>
    <xdr:to>
      <xdr:col>16</xdr:col>
      <xdr:colOff>215900</xdr:colOff>
      <xdr:row>7</xdr:row>
      <xdr:rowOff>44450</xdr:rowOff>
    </xdr:to>
    <xdr:cxnSp macro="">
      <xdr:nvCxnSpPr>
        <xdr:cNvPr id="7" name="Straight Connector 6">
          <a:extLst>
            <a:ext uri="{FF2B5EF4-FFF2-40B4-BE49-F238E27FC236}">
              <a16:creationId xmlns:a16="http://schemas.microsoft.com/office/drawing/2014/main" id="{F4910D57-52C6-6DF9-8CC7-B63A9FB0250C}"/>
            </a:ext>
          </a:extLst>
        </xdr:cNvPr>
        <xdr:cNvCxnSpPr/>
      </xdr:nvCxnSpPr>
      <xdr:spPr>
        <a:xfrm flipV="1">
          <a:off x="1130300" y="1327150"/>
          <a:ext cx="8839200" cy="6350"/>
        </a:xfrm>
        <a:prstGeom prst="line">
          <a:avLst/>
        </a:prstGeom>
        <a:ln w="12700">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38100</xdr:colOff>
      <xdr:row>4</xdr:row>
      <xdr:rowOff>63500</xdr:rowOff>
    </xdr:from>
    <xdr:to>
      <xdr:col>4</xdr:col>
      <xdr:colOff>266700</xdr:colOff>
      <xdr:row>7</xdr:row>
      <xdr:rowOff>0</xdr:rowOff>
    </xdr:to>
    <xdr:sp macro="" textlink="">
      <xdr:nvSpPr>
        <xdr:cNvPr id="8" name="Rectangle: Rounded Corners 7">
          <a:extLst>
            <a:ext uri="{FF2B5EF4-FFF2-40B4-BE49-F238E27FC236}">
              <a16:creationId xmlns:a16="http://schemas.microsoft.com/office/drawing/2014/main" id="{6B254A3E-8B05-8117-D0EB-B67DB0CC04FC}"/>
            </a:ext>
          </a:extLst>
        </xdr:cNvPr>
        <xdr:cNvSpPr/>
      </xdr:nvSpPr>
      <xdr:spPr>
        <a:xfrm>
          <a:off x="1257300" y="800100"/>
          <a:ext cx="1447800" cy="48895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450850</xdr:colOff>
      <xdr:row>4</xdr:row>
      <xdr:rowOff>63500</xdr:rowOff>
    </xdr:from>
    <xdr:to>
      <xdr:col>7</xdr:col>
      <xdr:colOff>336550</xdr:colOff>
      <xdr:row>7</xdr:row>
      <xdr:rowOff>0</xdr:rowOff>
    </xdr:to>
    <xdr:sp macro="" textlink="">
      <xdr:nvSpPr>
        <xdr:cNvPr id="9" name="Rectangle: Rounded Corners 8">
          <a:extLst>
            <a:ext uri="{FF2B5EF4-FFF2-40B4-BE49-F238E27FC236}">
              <a16:creationId xmlns:a16="http://schemas.microsoft.com/office/drawing/2014/main" id="{F08C3D8C-1ED1-228D-1B6C-81029D670541}"/>
            </a:ext>
          </a:extLst>
        </xdr:cNvPr>
        <xdr:cNvSpPr/>
      </xdr:nvSpPr>
      <xdr:spPr>
        <a:xfrm>
          <a:off x="2889250" y="800100"/>
          <a:ext cx="1714500" cy="48895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342900</xdr:colOff>
      <xdr:row>4</xdr:row>
      <xdr:rowOff>57150</xdr:rowOff>
    </xdr:from>
    <xdr:to>
      <xdr:col>13</xdr:col>
      <xdr:colOff>171450</xdr:colOff>
      <xdr:row>6</xdr:row>
      <xdr:rowOff>177800</xdr:rowOff>
    </xdr:to>
    <xdr:sp macro="" textlink="">
      <xdr:nvSpPr>
        <xdr:cNvPr id="10" name="Rectangle: Rounded Corners 9">
          <a:extLst>
            <a:ext uri="{FF2B5EF4-FFF2-40B4-BE49-F238E27FC236}">
              <a16:creationId xmlns:a16="http://schemas.microsoft.com/office/drawing/2014/main" id="{222A9629-3C67-0C35-CD37-3039149A52F7}"/>
            </a:ext>
          </a:extLst>
        </xdr:cNvPr>
        <xdr:cNvSpPr/>
      </xdr:nvSpPr>
      <xdr:spPr>
        <a:xfrm>
          <a:off x="6438900" y="793750"/>
          <a:ext cx="1657350" cy="48895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482600</xdr:colOff>
      <xdr:row>4</xdr:row>
      <xdr:rowOff>69850</xdr:rowOff>
    </xdr:from>
    <xdr:to>
      <xdr:col>10</xdr:col>
      <xdr:colOff>184150</xdr:colOff>
      <xdr:row>7</xdr:row>
      <xdr:rowOff>0</xdr:rowOff>
    </xdr:to>
    <xdr:sp macro="" textlink="">
      <xdr:nvSpPr>
        <xdr:cNvPr id="11" name="Rectangle: Rounded Corners 10">
          <a:extLst>
            <a:ext uri="{FF2B5EF4-FFF2-40B4-BE49-F238E27FC236}">
              <a16:creationId xmlns:a16="http://schemas.microsoft.com/office/drawing/2014/main" id="{9A5BC089-2EE4-C19F-F25C-138DB0189CDB}"/>
            </a:ext>
          </a:extLst>
        </xdr:cNvPr>
        <xdr:cNvSpPr/>
      </xdr:nvSpPr>
      <xdr:spPr>
        <a:xfrm>
          <a:off x="4749800" y="806450"/>
          <a:ext cx="1530350" cy="4826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304800</xdr:colOff>
      <xdr:row>4</xdr:row>
      <xdr:rowOff>57150</xdr:rowOff>
    </xdr:from>
    <xdr:to>
      <xdr:col>16</xdr:col>
      <xdr:colOff>76200</xdr:colOff>
      <xdr:row>6</xdr:row>
      <xdr:rowOff>177800</xdr:rowOff>
    </xdr:to>
    <xdr:sp macro="" textlink="">
      <xdr:nvSpPr>
        <xdr:cNvPr id="12" name="Rectangle: Rounded Corners 11">
          <a:extLst>
            <a:ext uri="{FF2B5EF4-FFF2-40B4-BE49-F238E27FC236}">
              <a16:creationId xmlns:a16="http://schemas.microsoft.com/office/drawing/2014/main" id="{E328F8CE-8994-F38B-7733-CC7553E146CA}"/>
            </a:ext>
          </a:extLst>
        </xdr:cNvPr>
        <xdr:cNvSpPr/>
      </xdr:nvSpPr>
      <xdr:spPr>
        <a:xfrm>
          <a:off x="8229600" y="793750"/>
          <a:ext cx="1600200" cy="48895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12700</xdr:colOff>
      <xdr:row>5</xdr:row>
      <xdr:rowOff>95250</xdr:rowOff>
    </xdr:from>
    <xdr:to>
      <xdr:col>4</xdr:col>
      <xdr:colOff>279400</xdr:colOff>
      <xdr:row>6</xdr:row>
      <xdr:rowOff>152400</xdr:rowOff>
    </xdr:to>
    <xdr:sp macro="" textlink="'Pivot Sheet'!$V$24">
      <xdr:nvSpPr>
        <xdr:cNvPr id="13" name="TextBox 12">
          <a:extLst>
            <a:ext uri="{FF2B5EF4-FFF2-40B4-BE49-F238E27FC236}">
              <a16:creationId xmlns:a16="http://schemas.microsoft.com/office/drawing/2014/main" id="{5D3C97ED-BE81-4C3F-BF23-FADCF15BEF40}"/>
            </a:ext>
          </a:extLst>
        </xdr:cNvPr>
        <xdr:cNvSpPr txBox="1"/>
      </xdr:nvSpPr>
      <xdr:spPr>
        <a:xfrm>
          <a:off x="1231900" y="1016000"/>
          <a:ext cx="1485900" cy="241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799E409-E9E1-45A4-A45A-59BC7268C10F}" type="TxLink">
            <a:rPr lang="en-US" sz="1200" b="1" i="0" u="none" strike="noStrike">
              <a:solidFill>
                <a:schemeClr val="bg1"/>
              </a:solidFill>
              <a:latin typeface="Arial" panose="020B0604020202020204" pitchFamily="34" charset="0"/>
              <a:ea typeface="Calibri"/>
              <a:cs typeface="Arial" panose="020B0604020202020204" pitchFamily="34" charset="0"/>
            </a:rPr>
            <a:pPr algn="ctr"/>
            <a:t>₦2,416,079,602.00</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xdr:col>
      <xdr:colOff>12700</xdr:colOff>
      <xdr:row>4</xdr:row>
      <xdr:rowOff>57150</xdr:rowOff>
    </xdr:from>
    <xdr:to>
      <xdr:col>4</xdr:col>
      <xdr:colOff>304800</xdr:colOff>
      <xdr:row>5</xdr:row>
      <xdr:rowOff>139700</xdr:rowOff>
    </xdr:to>
    <xdr:sp macro="" textlink="">
      <xdr:nvSpPr>
        <xdr:cNvPr id="14" name="TextBox 13">
          <a:extLst>
            <a:ext uri="{FF2B5EF4-FFF2-40B4-BE49-F238E27FC236}">
              <a16:creationId xmlns:a16="http://schemas.microsoft.com/office/drawing/2014/main" id="{AE65CB74-BD89-4D4B-B947-F37693AFECB9}"/>
            </a:ext>
          </a:extLst>
        </xdr:cNvPr>
        <xdr:cNvSpPr txBox="1"/>
      </xdr:nvSpPr>
      <xdr:spPr>
        <a:xfrm>
          <a:off x="1231900" y="793750"/>
          <a:ext cx="15113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Total Revenue</a:t>
          </a:r>
        </a:p>
      </xdr:txBody>
    </xdr:sp>
    <xdr:clientData/>
  </xdr:twoCellAnchor>
  <xdr:twoCellAnchor>
    <xdr:from>
      <xdr:col>4</xdr:col>
      <xdr:colOff>457200</xdr:colOff>
      <xdr:row>5</xdr:row>
      <xdr:rowOff>107950</xdr:rowOff>
    </xdr:from>
    <xdr:to>
      <xdr:col>7</xdr:col>
      <xdr:colOff>342900</xdr:colOff>
      <xdr:row>6</xdr:row>
      <xdr:rowOff>139700</xdr:rowOff>
    </xdr:to>
    <xdr:sp macro="" textlink="'Pivot Sheet'!$B$26">
      <xdr:nvSpPr>
        <xdr:cNvPr id="15" name="TextBox 14">
          <a:extLst>
            <a:ext uri="{FF2B5EF4-FFF2-40B4-BE49-F238E27FC236}">
              <a16:creationId xmlns:a16="http://schemas.microsoft.com/office/drawing/2014/main" id="{2A2D74C6-056C-4253-82A7-C0235DDADEE8}"/>
            </a:ext>
          </a:extLst>
        </xdr:cNvPr>
        <xdr:cNvSpPr txBox="1"/>
      </xdr:nvSpPr>
      <xdr:spPr>
        <a:xfrm>
          <a:off x="2895600" y="1028700"/>
          <a:ext cx="17145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7AC003-AE08-4165-B127-FA1DB5DD280A}" type="TxLink">
            <a:rPr lang="en-US" sz="1200" b="1" i="0" u="none" strike="noStrike">
              <a:solidFill>
                <a:schemeClr val="bg1"/>
              </a:solidFill>
              <a:latin typeface="Arial" panose="020B0604020202020204" pitchFamily="34" charset="0"/>
              <a:ea typeface="Calibri"/>
              <a:cs typeface="Arial" panose="020B0604020202020204" pitchFamily="34" charset="0"/>
            </a:rPr>
            <a:pPr algn="ctr"/>
            <a:t>Zen T-Shirt</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4</xdr:col>
      <xdr:colOff>444500</xdr:colOff>
      <xdr:row>4</xdr:row>
      <xdr:rowOff>57150</xdr:rowOff>
    </xdr:from>
    <xdr:to>
      <xdr:col>7</xdr:col>
      <xdr:colOff>374650</xdr:colOff>
      <xdr:row>5</xdr:row>
      <xdr:rowOff>139700</xdr:rowOff>
    </xdr:to>
    <xdr:sp macro="" textlink="">
      <xdr:nvSpPr>
        <xdr:cNvPr id="16" name="TextBox 15">
          <a:extLst>
            <a:ext uri="{FF2B5EF4-FFF2-40B4-BE49-F238E27FC236}">
              <a16:creationId xmlns:a16="http://schemas.microsoft.com/office/drawing/2014/main" id="{DD16E70E-5E39-4B63-9809-C3BE4DEDBCEB}"/>
            </a:ext>
          </a:extLst>
        </xdr:cNvPr>
        <xdr:cNvSpPr txBox="1"/>
      </xdr:nvSpPr>
      <xdr:spPr>
        <a:xfrm>
          <a:off x="2882900" y="793750"/>
          <a:ext cx="17589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effectLst/>
              <a:latin typeface="Arial" panose="020B0604020202020204" pitchFamily="34" charset="0"/>
              <a:ea typeface="+mn-ea"/>
              <a:cs typeface="Arial" panose="020B0604020202020204" pitchFamily="34" charset="0"/>
            </a:rPr>
            <a:t>Top Revenue Product</a:t>
          </a:r>
          <a:endParaRPr lang="en-US" sz="1200">
            <a:solidFill>
              <a:schemeClr val="bg1"/>
            </a:solidFill>
            <a:effectLst/>
            <a:latin typeface="Arial" panose="020B0604020202020204" pitchFamily="34" charset="0"/>
            <a:cs typeface="Arial" panose="020B0604020202020204" pitchFamily="34" charset="0"/>
          </a:endParaRPr>
        </a:p>
      </xdr:txBody>
    </xdr:sp>
    <xdr:clientData/>
  </xdr:twoCellAnchor>
  <xdr:twoCellAnchor>
    <xdr:from>
      <xdr:col>7</xdr:col>
      <xdr:colOff>457200</xdr:colOff>
      <xdr:row>5</xdr:row>
      <xdr:rowOff>95250</xdr:rowOff>
    </xdr:from>
    <xdr:to>
      <xdr:col>10</xdr:col>
      <xdr:colOff>152400</xdr:colOff>
      <xdr:row>7</xdr:row>
      <xdr:rowOff>25400</xdr:rowOff>
    </xdr:to>
    <xdr:sp macro="" textlink="'Pivot Sheet'!$V$28">
      <xdr:nvSpPr>
        <xdr:cNvPr id="17" name="TextBox 16">
          <a:extLst>
            <a:ext uri="{FF2B5EF4-FFF2-40B4-BE49-F238E27FC236}">
              <a16:creationId xmlns:a16="http://schemas.microsoft.com/office/drawing/2014/main" id="{5E6DC52E-C018-4035-996E-7B414A7BAED5}"/>
            </a:ext>
          </a:extLst>
        </xdr:cNvPr>
        <xdr:cNvSpPr txBox="1"/>
      </xdr:nvSpPr>
      <xdr:spPr>
        <a:xfrm>
          <a:off x="4724400" y="1016000"/>
          <a:ext cx="15240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6872824-FDC8-4173-8043-C872DF486A14}" type="TxLink">
            <a:rPr lang="en-US" sz="1200" b="1" i="0" u="none" strike="noStrike">
              <a:solidFill>
                <a:schemeClr val="bg1"/>
              </a:solidFill>
              <a:latin typeface="Arial" panose="020B0604020202020204" pitchFamily="34" charset="0"/>
              <a:ea typeface="Calibri"/>
              <a:cs typeface="Arial" panose="020B0604020202020204" pitchFamily="34" charset="0"/>
            </a:rPr>
            <a:pPr algn="ctr"/>
            <a:t>49.62%</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7</xdr:col>
      <xdr:colOff>514350</xdr:colOff>
      <xdr:row>4</xdr:row>
      <xdr:rowOff>57150</xdr:rowOff>
    </xdr:from>
    <xdr:to>
      <xdr:col>10</xdr:col>
      <xdr:colOff>133350</xdr:colOff>
      <xdr:row>5</xdr:row>
      <xdr:rowOff>171450</xdr:rowOff>
    </xdr:to>
    <xdr:sp macro="" textlink="">
      <xdr:nvSpPr>
        <xdr:cNvPr id="18" name="TextBox 17">
          <a:extLst>
            <a:ext uri="{FF2B5EF4-FFF2-40B4-BE49-F238E27FC236}">
              <a16:creationId xmlns:a16="http://schemas.microsoft.com/office/drawing/2014/main" id="{CBB9EE75-D277-42DC-B6A3-935AE087B874}"/>
            </a:ext>
          </a:extLst>
        </xdr:cNvPr>
        <xdr:cNvSpPr txBox="1"/>
      </xdr:nvSpPr>
      <xdr:spPr>
        <a:xfrm>
          <a:off x="4781550" y="793750"/>
          <a:ext cx="14478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Expenses Ratio</a:t>
          </a:r>
        </a:p>
      </xdr:txBody>
    </xdr:sp>
    <xdr:clientData/>
  </xdr:twoCellAnchor>
  <xdr:twoCellAnchor>
    <xdr:from>
      <xdr:col>10</xdr:col>
      <xdr:colOff>336550</xdr:colOff>
      <xdr:row>5</xdr:row>
      <xdr:rowOff>82550</xdr:rowOff>
    </xdr:from>
    <xdr:to>
      <xdr:col>13</xdr:col>
      <xdr:colOff>165100</xdr:colOff>
      <xdr:row>6</xdr:row>
      <xdr:rowOff>120650</xdr:rowOff>
    </xdr:to>
    <xdr:sp macro="" textlink="'Pivot Sheet'!$G$26">
      <xdr:nvSpPr>
        <xdr:cNvPr id="19" name="TextBox 18">
          <a:extLst>
            <a:ext uri="{FF2B5EF4-FFF2-40B4-BE49-F238E27FC236}">
              <a16:creationId xmlns:a16="http://schemas.microsoft.com/office/drawing/2014/main" id="{63E48F54-11AE-4B17-A1AF-D3C82520205A}"/>
            </a:ext>
          </a:extLst>
        </xdr:cNvPr>
        <xdr:cNvSpPr txBox="1"/>
      </xdr:nvSpPr>
      <xdr:spPr>
        <a:xfrm>
          <a:off x="6432550" y="1003300"/>
          <a:ext cx="1657350" cy="222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26218B1-C793-4036-BFC0-0DF2861A2FC6}" type="TxLink">
            <a:rPr lang="en-US" sz="1200" b="1" i="0" u="none" strike="noStrike">
              <a:solidFill>
                <a:schemeClr val="bg1"/>
              </a:solidFill>
              <a:latin typeface="Arial" panose="020B0604020202020204" pitchFamily="34" charset="0"/>
              <a:ea typeface="Calibri"/>
              <a:cs typeface="Arial" panose="020B0604020202020204" pitchFamily="34" charset="0"/>
            </a:rPr>
            <a:pPr algn="ctr"/>
            <a:t>Zen T-Shirt</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10</xdr:col>
      <xdr:colOff>330200</xdr:colOff>
      <xdr:row>4</xdr:row>
      <xdr:rowOff>38100</xdr:rowOff>
    </xdr:from>
    <xdr:to>
      <xdr:col>13</xdr:col>
      <xdr:colOff>177800</xdr:colOff>
      <xdr:row>5</xdr:row>
      <xdr:rowOff>120650</xdr:rowOff>
    </xdr:to>
    <xdr:sp macro="" textlink="">
      <xdr:nvSpPr>
        <xdr:cNvPr id="20" name="TextBox 19">
          <a:extLst>
            <a:ext uri="{FF2B5EF4-FFF2-40B4-BE49-F238E27FC236}">
              <a16:creationId xmlns:a16="http://schemas.microsoft.com/office/drawing/2014/main" id="{CF29D914-3E2E-44D0-85CA-04AC8C5E398B}"/>
            </a:ext>
          </a:extLst>
        </xdr:cNvPr>
        <xdr:cNvSpPr txBox="1"/>
      </xdr:nvSpPr>
      <xdr:spPr>
        <a:xfrm>
          <a:off x="6426200" y="774700"/>
          <a:ext cx="16764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Top Profit Product</a:t>
          </a:r>
        </a:p>
      </xdr:txBody>
    </xdr:sp>
    <xdr:clientData/>
  </xdr:twoCellAnchor>
  <xdr:twoCellAnchor>
    <xdr:from>
      <xdr:col>13</xdr:col>
      <xdr:colOff>260350</xdr:colOff>
      <xdr:row>5</xdr:row>
      <xdr:rowOff>50800</xdr:rowOff>
    </xdr:from>
    <xdr:to>
      <xdr:col>16</xdr:col>
      <xdr:colOff>222250</xdr:colOff>
      <xdr:row>6</xdr:row>
      <xdr:rowOff>114300</xdr:rowOff>
    </xdr:to>
    <xdr:sp macro="" textlink="'Pivot Sheet'!$V$26">
      <xdr:nvSpPr>
        <xdr:cNvPr id="21" name="TextBox 20">
          <a:extLst>
            <a:ext uri="{FF2B5EF4-FFF2-40B4-BE49-F238E27FC236}">
              <a16:creationId xmlns:a16="http://schemas.microsoft.com/office/drawing/2014/main" id="{C1C5F0BA-AF10-4C4D-A8DA-401027A9DC12}"/>
            </a:ext>
          </a:extLst>
        </xdr:cNvPr>
        <xdr:cNvSpPr txBox="1"/>
      </xdr:nvSpPr>
      <xdr:spPr>
        <a:xfrm>
          <a:off x="8185150" y="971550"/>
          <a:ext cx="17907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4317DE8-F89B-4D5D-B434-AFE212A04BED}" type="TxLink">
            <a:rPr lang="en-US" sz="1200" b="1" i="0" u="none" strike="noStrike">
              <a:solidFill>
                <a:schemeClr val="bg1"/>
              </a:solidFill>
              <a:latin typeface="Arial" panose="020B0604020202020204" pitchFamily="34" charset="0"/>
              <a:ea typeface="Calibri"/>
              <a:cs typeface="Arial" panose="020B0604020202020204" pitchFamily="34" charset="0"/>
            </a:rPr>
            <a:pPr algn="ctr"/>
            <a:t>₦1,217,169,629.00</a:t>
          </a:fld>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279400</xdr:colOff>
      <xdr:row>4</xdr:row>
      <xdr:rowOff>31750</xdr:rowOff>
    </xdr:from>
    <xdr:to>
      <xdr:col>16</xdr:col>
      <xdr:colOff>177800</xdr:colOff>
      <xdr:row>5</xdr:row>
      <xdr:rowOff>114300</xdr:rowOff>
    </xdr:to>
    <xdr:sp macro="" textlink="">
      <xdr:nvSpPr>
        <xdr:cNvPr id="22" name="TextBox 21">
          <a:extLst>
            <a:ext uri="{FF2B5EF4-FFF2-40B4-BE49-F238E27FC236}">
              <a16:creationId xmlns:a16="http://schemas.microsoft.com/office/drawing/2014/main" id="{B194F7DC-04E7-4FEA-BD76-487FD50F8E4C}"/>
            </a:ext>
          </a:extLst>
        </xdr:cNvPr>
        <xdr:cNvSpPr txBox="1"/>
      </xdr:nvSpPr>
      <xdr:spPr>
        <a:xfrm>
          <a:off x="8204200" y="768350"/>
          <a:ext cx="17272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bg1"/>
              </a:solidFill>
              <a:latin typeface="Arial" panose="020B0604020202020204" pitchFamily="34" charset="0"/>
              <a:cs typeface="Arial" panose="020B0604020202020204" pitchFamily="34" charset="0"/>
            </a:rPr>
            <a:t>Total Profit</a:t>
          </a:r>
        </a:p>
      </xdr:txBody>
    </xdr:sp>
    <xdr:clientData/>
  </xdr:twoCellAnchor>
  <xdr:twoCellAnchor>
    <xdr:from>
      <xdr:col>2</xdr:col>
      <xdr:colOff>44450</xdr:colOff>
      <xdr:row>7</xdr:row>
      <xdr:rowOff>88900</xdr:rowOff>
    </xdr:from>
    <xdr:to>
      <xdr:col>6</xdr:col>
      <xdr:colOff>438150</xdr:colOff>
      <xdr:row>17</xdr:row>
      <xdr:rowOff>76200</xdr:rowOff>
    </xdr:to>
    <xdr:sp macro="" textlink="">
      <xdr:nvSpPr>
        <xdr:cNvPr id="23" name="Rectangle: Rounded Corners 22">
          <a:extLst>
            <a:ext uri="{FF2B5EF4-FFF2-40B4-BE49-F238E27FC236}">
              <a16:creationId xmlns:a16="http://schemas.microsoft.com/office/drawing/2014/main" id="{5E252202-9471-AF68-28F6-F26B1BCA237C}"/>
            </a:ext>
          </a:extLst>
        </xdr:cNvPr>
        <xdr:cNvSpPr/>
      </xdr:nvSpPr>
      <xdr:spPr>
        <a:xfrm>
          <a:off x="1263650" y="1377950"/>
          <a:ext cx="2832100" cy="1828800"/>
        </a:xfrm>
        <a:prstGeom prst="roundRect">
          <a:avLst>
            <a:gd name="adj" fmla="val 5470"/>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501650</xdr:colOff>
      <xdr:row>7</xdr:row>
      <xdr:rowOff>101600</xdr:rowOff>
    </xdr:from>
    <xdr:to>
      <xdr:col>11</xdr:col>
      <xdr:colOff>336550</xdr:colOff>
      <xdr:row>17</xdr:row>
      <xdr:rowOff>69850</xdr:rowOff>
    </xdr:to>
    <xdr:sp macro="" textlink="">
      <xdr:nvSpPr>
        <xdr:cNvPr id="28" name="Rectangle: Rounded Corners 27">
          <a:extLst>
            <a:ext uri="{FF2B5EF4-FFF2-40B4-BE49-F238E27FC236}">
              <a16:creationId xmlns:a16="http://schemas.microsoft.com/office/drawing/2014/main" id="{802D5F6E-DBE0-1E53-FBC9-B7DD86D70D51}"/>
            </a:ext>
          </a:extLst>
        </xdr:cNvPr>
        <xdr:cNvSpPr/>
      </xdr:nvSpPr>
      <xdr:spPr>
        <a:xfrm>
          <a:off x="4159250" y="1390650"/>
          <a:ext cx="2882900" cy="1809750"/>
        </a:xfrm>
        <a:prstGeom prst="roundRect">
          <a:avLst>
            <a:gd name="adj" fmla="val 5470"/>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76200</xdr:colOff>
      <xdr:row>17</xdr:row>
      <xdr:rowOff>127000</xdr:rowOff>
    </xdr:from>
    <xdr:to>
      <xdr:col>9</xdr:col>
      <xdr:colOff>590550</xdr:colOff>
      <xdr:row>27</xdr:row>
      <xdr:rowOff>38100</xdr:rowOff>
    </xdr:to>
    <xdr:sp macro="" textlink="">
      <xdr:nvSpPr>
        <xdr:cNvPr id="29" name="Rectangle: Rounded Corners 28">
          <a:extLst>
            <a:ext uri="{FF2B5EF4-FFF2-40B4-BE49-F238E27FC236}">
              <a16:creationId xmlns:a16="http://schemas.microsoft.com/office/drawing/2014/main" id="{202AE990-DE2B-21C7-7D92-2AE60B080782}"/>
            </a:ext>
          </a:extLst>
        </xdr:cNvPr>
        <xdr:cNvSpPr/>
      </xdr:nvSpPr>
      <xdr:spPr>
        <a:xfrm>
          <a:off x="1295400" y="3257550"/>
          <a:ext cx="4781550" cy="1752600"/>
        </a:xfrm>
        <a:prstGeom prst="roundRect">
          <a:avLst>
            <a:gd name="adj" fmla="val 5470"/>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44450</xdr:colOff>
      <xdr:row>17</xdr:row>
      <xdr:rowOff>127000</xdr:rowOff>
    </xdr:from>
    <xdr:to>
      <xdr:col>16</xdr:col>
      <xdr:colOff>120650</xdr:colOff>
      <xdr:row>27</xdr:row>
      <xdr:rowOff>57150</xdr:rowOff>
    </xdr:to>
    <xdr:sp macro="" textlink="">
      <xdr:nvSpPr>
        <xdr:cNvPr id="30" name="Rectangle: Rounded Corners 29">
          <a:extLst>
            <a:ext uri="{FF2B5EF4-FFF2-40B4-BE49-F238E27FC236}">
              <a16:creationId xmlns:a16="http://schemas.microsoft.com/office/drawing/2014/main" id="{CEEA2833-9FE8-FE64-00C8-F8285BC08EC2}"/>
            </a:ext>
          </a:extLst>
        </xdr:cNvPr>
        <xdr:cNvSpPr/>
      </xdr:nvSpPr>
      <xdr:spPr>
        <a:xfrm>
          <a:off x="6140450" y="3257550"/>
          <a:ext cx="3733800" cy="1771650"/>
        </a:xfrm>
        <a:prstGeom prst="roundRect">
          <a:avLst>
            <a:gd name="adj" fmla="val 5470"/>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25400</xdr:colOff>
      <xdr:row>1</xdr:row>
      <xdr:rowOff>82550</xdr:rowOff>
    </xdr:from>
    <xdr:to>
      <xdr:col>8</xdr:col>
      <xdr:colOff>285750</xdr:colOff>
      <xdr:row>3</xdr:row>
      <xdr:rowOff>165100</xdr:rowOff>
    </xdr:to>
    <xdr:sp macro="" textlink="">
      <xdr:nvSpPr>
        <xdr:cNvPr id="31" name="TextBox 30">
          <a:extLst>
            <a:ext uri="{FF2B5EF4-FFF2-40B4-BE49-F238E27FC236}">
              <a16:creationId xmlns:a16="http://schemas.microsoft.com/office/drawing/2014/main" id="{B9BCEA56-D970-D8A4-AAC8-2CA2DF617415}"/>
            </a:ext>
          </a:extLst>
        </xdr:cNvPr>
        <xdr:cNvSpPr txBox="1"/>
      </xdr:nvSpPr>
      <xdr:spPr>
        <a:xfrm>
          <a:off x="1244600" y="266700"/>
          <a:ext cx="3917950" cy="450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panose="020B0604020202020204" pitchFamily="34" charset="0"/>
              <a:cs typeface="Arial" panose="020B0604020202020204" pitchFamily="34" charset="0"/>
            </a:rPr>
            <a:t>ZONEX PRODUCT &amp; PROFITABILITY DASHBOARD  </a:t>
          </a:r>
          <a:br>
            <a:rPr lang="en-US" sz="1200" b="1">
              <a:solidFill>
                <a:schemeClr val="bg1"/>
              </a:solidFill>
              <a:latin typeface="Arial" panose="020B0604020202020204" pitchFamily="34" charset="0"/>
              <a:cs typeface="Arial" panose="020B0604020202020204" pitchFamily="34" charset="0"/>
            </a:rPr>
          </a:br>
          <a:r>
            <a:rPr lang="en-US" sz="1200" b="1">
              <a:solidFill>
                <a:schemeClr val="bg1"/>
              </a:solidFill>
              <a:latin typeface="Arial" panose="020B0604020202020204" pitchFamily="34" charset="0"/>
              <a:cs typeface="Arial" panose="020B0604020202020204" pitchFamily="34" charset="0"/>
            </a:rPr>
            <a:t>         2024 vs 2025</a:t>
          </a:r>
        </a:p>
      </xdr:txBody>
    </xdr:sp>
    <xdr:clientData/>
  </xdr:twoCellAnchor>
  <xdr:twoCellAnchor>
    <xdr:from>
      <xdr:col>2</xdr:col>
      <xdr:colOff>38101</xdr:colOff>
      <xdr:row>7</xdr:row>
      <xdr:rowOff>82550</xdr:rowOff>
    </xdr:from>
    <xdr:to>
      <xdr:col>6</xdr:col>
      <xdr:colOff>419100</xdr:colOff>
      <xdr:row>17</xdr:row>
      <xdr:rowOff>76200</xdr:rowOff>
    </xdr:to>
    <xdr:graphicFrame macro="">
      <xdr:nvGraphicFramePr>
        <xdr:cNvPr id="5" name="Chart 1">
          <a:extLst>
            <a:ext uri="{FF2B5EF4-FFF2-40B4-BE49-F238E27FC236}">
              <a16:creationId xmlns:a16="http://schemas.microsoft.com/office/drawing/2014/main" id="{C906E85E-F8C8-7CC9-0A22-40510914DA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44450</xdr:colOff>
      <xdr:row>17</xdr:row>
      <xdr:rowOff>101600</xdr:rowOff>
    </xdr:from>
    <xdr:to>
      <xdr:col>16</xdr:col>
      <xdr:colOff>127000</xdr:colOff>
      <xdr:row>27</xdr:row>
      <xdr:rowOff>38100</xdr:rowOff>
    </xdr:to>
    <xdr:graphicFrame macro="">
      <xdr:nvGraphicFramePr>
        <xdr:cNvPr id="33" name="Chart 3">
          <a:extLst>
            <a:ext uri="{FF2B5EF4-FFF2-40B4-BE49-F238E27FC236}">
              <a16:creationId xmlns:a16="http://schemas.microsoft.com/office/drawing/2014/main" id="{6923C472-3456-E74A-3359-7A5B99294C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69850</xdr:colOff>
      <xdr:row>17</xdr:row>
      <xdr:rowOff>127000</xdr:rowOff>
    </xdr:from>
    <xdr:to>
      <xdr:col>9</xdr:col>
      <xdr:colOff>590550</xdr:colOff>
      <xdr:row>27</xdr:row>
      <xdr:rowOff>82550</xdr:rowOff>
    </xdr:to>
    <xdr:graphicFrame macro="">
      <xdr:nvGraphicFramePr>
        <xdr:cNvPr id="34" name="Chart 4">
          <a:extLst>
            <a:ext uri="{FF2B5EF4-FFF2-40B4-BE49-F238E27FC236}">
              <a16:creationId xmlns:a16="http://schemas.microsoft.com/office/drawing/2014/main" id="{58509CEE-9A4D-65CD-7A60-4BC5C34B99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228600</xdr:colOff>
      <xdr:row>1</xdr:row>
      <xdr:rowOff>44450</xdr:rowOff>
    </xdr:from>
    <xdr:to>
      <xdr:col>16</xdr:col>
      <xdr:colOff>76200</xdr:colOff>
      <xdr:row>3</xdr:row>
      <xdr:rowOff>139700</xdr:rowOff>
    </xdr:to>
    <mc:AlternateContent xmlns:mc="http://schemas.openxmlformats.org/markup-compatibility/2006" xmlns:a14="http://schemas.microsoft.com/office/drawing/2010/main">
      <mc:Choice Requires="a14">
        <xdr:graphicFrame macro="">
          <xdr:nvGraphicFramePr>
            <xdr:cNvPr id="35" name="Financial Year 1">
              <a:extLst>
                <a:ext uri="{FF2B5EF4-FFF2-40B4-BE49-F238E27FC236}">
                  <a16:creationId xmlns:a16="http://schemas.microsoft.com/office/drawing/2014/main" id="{E55794B5-E282-E4B2-8618-6F0071C2B24C}"/>
                </a:ext>
              </a:extLst>
            </xdr:cNvPr>
            <xdr:cNvGraphicFramePr/>
          </xdr:nvGraphicFramePr>
          <xdr:xfrm>
            <a:off x="0" y="0"/>
            <a:ext cx="0" cy="0"/>
          </xdr:xfrm>
          <a:graphic>
            <a:graphicData uri="http://schemas.microsoft.com/office/drawing/2010/slicer">
              <sle:slicer xmlns:sle="http://schemas.microsoft.com/office/drawing/2010/slicer" name="Financial Year 1"/>
            </a:graphicData>
          </a:graphic>
        </xdr:graphicFrame>
      </mc:Choice>
      <mc:Fallback xmlns="">
        <xdr:sp macro="" textlink="">
          <xdr:nvSpPr>
            <xdr:cNvPr id="0" name=""/>
            <xdr:cNvSpPr>
              <a:spLocks noTextEdit="1"/>
            </xdr:cNvSpPr>
          </xdr:nvSpPr>
          <xdr:spPr>
            <a:xfrm>
              <a:off x="7543800" y="228600"/>
              <a:ext cx="2286000" cy="463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469900</xdr:colOff>
      <xdr:row>1</xdr:row>
      <xdr:rowOff>44451</xdr:rowOff>
    </xdr:from>
    <xdr:to>
      <xdr:col>12</xdr:col>
      <xdr:colOff>144146</xdr:colOff>
      <xdr:row>3</xdr:row>
      <xdr:rowOff>146051</xdr:rowOff>
    </xdr:to>
    <mc:AlternateContent xmlns:mc="http://schemas.openxmlformats.org/markup-compatibility/2006" xmlns:a14="http://schemas.microsoft.com/office/drawing/2010/main">
      <mc:Choice Requires="a14">
        <xdr:graphicFrame macro="">
          <xdr:nvGraphicFramePr>
            <xdr:cNvPr id="36" name="Product 1">
              <a:extLst>
                <a:ext uri="{FF2B5EF4-FFF2-40B4-BE49-F238E27FC236}">
                  <a16:creationId xmlns:a16="http://schemas.microsoft.com/office/drawing/2014/main" id="{24F2471C-17FB-0DA6-144D-3F507AABF11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5346700" y="228601"/>
              <a:ext cx="2112646" cy="469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412750</xdr:colOff>
      <xdr:row>7</xdr:row>
      <xdr:rowOff>101600</xdr:rowOff>
    </xdr:from>
    <xdr:to>
      <xdr:col>16</xdr:col>
      <xdr:colOff>120650</xdr:colOff>
      <xdr:row>17</xdr:row>
      <xdr:rowOff>76200</xdr:rowOff>
    </xdr:to>
    <xdr:sp macro="" textlink="">
      <xdr:nvSpPr>
        <xdr:cNvPr id="25" name="Rectangle: Rounded Corners 24">
          <a:extLst>
            <a:ext uri="{FF2B5EF4-FFF2-40B4-BE49-F238E27FC236}">
              <a16:creationId xmlns:a16="http://schemas.microsoft.com/office/drawing/2014/main" id="{36530F90-60E6-AD80-17BA-5F2B63C474E8}"/>
            </a:ext>
          </a:extLst>
        </xdr:cNvPr>
        <xdr:cNvSpPr/>
      </xdr:nvSpPr>
      <xdr:spPr>
        <a:xfrm>
          <a:off x="7118350" y="1390650"/>
          <a:ext cx="2755900" cy="1816100"/>
        </a:xfrm>
        <a:prstGeom prst="roundRect">
          <a:avLst>
            <a:gd name="adj" fmla="val 5470"/>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527049</xdr:colOff>
      <xdr:row>7</xdr:row>
      <xdr:rowOff>82551</xdr:rowOff>
    </xdr:from>
    <xdr:to>
      <xdr:col>11</xdr:col>
      <xdr:colOff>361950</xdr:colOff>
      <xdr:row>17</xdr:row>
      <xdr:rowOff>88901</xdr:rowOff>
    </xdr:to>
    <xdr:graphicFrame macro="">
      <xdr:nvGraphicFramePr>
        <xdr:cNvPr id="24" name="Chart 1">
          <a:extLst>
            <a:ext uri="{FF2B5EF4-FFF2-40B4-BE49-F238E27FC236}">
              <a16:creationId xmlns:a16="http://schemas.microsoft.com/office/drawing/2014/main" id="{3C589E8F-0746-A146-FB2D-D6EE53B42B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431800</xdr:colOff>
      <xdr:row>7</xdr:row>
      <xdr:rowOff>101600</xdr:rowOff>
    </xdr:from>
    <xdr:to>
      <xdr:col>16</xdr:col>
      <xdr:colOff>88900</xdr:colOff>
      <xdr:row>17</xdr:row>
      <xdr:rowOff>69850</xdr:rowOff>
    </xdr:to>
    <xdr:graphicFrame macro="">
      <xdr:nvGraphicFramePr>
        <xdr:cNvPr id="6" name="Chart 2">
          <a:extLst>
            <a:ext uri="{FF2B5EF4-FFF2-40B4-BE49-F238E27FC236}">
              <a16:creationId xmlns:a16="http://schemas.microsoft.com/office/drawing/2014/main" id="{926EE59E-9B3C-AB0C-9CD8-99FC1F76B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5.697622106483" createdVersion="8" refreshedVersion="8" minRefreshableVersion="3" recordCount="249" xr:uid="{A2BE846E-60E0-4AF9-A476-697D811E238B}">
  <cacheSource type="worksheet">
    <worksheetSource name="FinancialData"/>
  </cacheSource>
  <cacheFields count="11">
    <cacheField name="Month" numFmtId="0">
      <sharedItems count="12">
        <s v="January"/>
        <s v="February"/>
        <s v="March"/>
        <s v="April"/>
        <s v="May"/>
        <s v="June"/>
        <s v="July"/>
        <s v="August"/>
        <s v="September"/>
        <s v="October"/>
        <s v="November"/>
        <s v="December"/>
      </sharedItems>
    </cacheField>
    <cacheField name="Month No." numFmtId="0">
      <sharedItems containsSemiMixedTypes="0" containsString="0" containsNumber="1" containsInteger="1" minValue="1" maxValue="12"/>
    </cacheField>
    <cacheField name="Quarter" numFmtId="0">
      <sharedItems count="4">
        <s v="Q1"/>
        <s v="Q2"/>
        <s v="Q3"/>
        <s v="Q4"/>
      </sharedItems>
    </cacheField>
    <cacheField name="Product" numFmtId="49">
      <sharedItems count="2">
        <s v="Asobe Shirt"/>
        <s v="Zen T-Shirt"/>
      </sharedItems>
    </cacheField>
    <cacheField name="Revenue" numFmtId="165">
      <sharedItems containsSemiMixedTypes="0" containsString="0" containsNumber="1" containsInteger="1" minValue="2093322" maxValue="17872796"/>
    </cacheField>
    <cacheField name="Expenses" numFmtId="165">
      <sharedItems containsSemiMixedTypes="0" containsString="0" containsNumber="1" containsInteger="1" minValue="846252" maxValue="9516586"/>
    </cacheField>
    <cacheField name="Profit" numFmtId="165">
      <sharedItems containsSemiMixedTypes="0" containsString="0" containsNumber="1" containsInteger="1" minValue="227945" maxValue="14021471"/>
    </cacheField>
    <cacheField name="Profit Margin" numFmtId="10">
      <sharedItems containsSemiMixedTypes="0" containsString="0" containsNumber="1" minValue="7.3154137335102717E-2" maxValue="0.8607268019570018"/>
    </cacheField>
    <cacheField name="Expenses Ratio" numFmtId="10">
      <sharedItems containsSemiMixedTypes="0" containsString="0" containsNumber="1" minValue="0.13927319804299818" maxValue="0.92684586266489732"/>
    </cacheField>
    <cacheField name="Date" numFmtId="14">
      <sharedItems containsNonDate="0" containsDate="1" containsString="0" containsBlank="1" minDate="2024-01-01T00:00:00" maxDate="2026-01-01T00:00:00"/>
    </cacheField>
    <cacheField name="Financial Year" numFmtId="0">
      <sharedItems containsSemiMixedTypes="0" containsString="0" containsNumber="1" containsInteger="1" minValue="2024" maxValue="2025" count="2">
        <n v="2025"/>
        <n v="2024"/>
      </sharedItems>
    </cacheField>
  </cacheFields>
  <extLst>
    <ext xmlns:x14="http://schemas.microsoft.com/office/spreadsheetml/2009/9/main" uri="{725AE2AE-9491-48be-B2B4-4EB974FC3084}">
      <x14:pivotCacheDefinition pivotCacheId="7170163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6.075039699077" createdVersion="8" refreshedVersion="8" minRefreshableVersion="3" recordCount="249" xr:uid="{C74FCF9B-CB74-41D8-9AA7-D98D59373B82}">
  <cacheSource type="worksheet">
    <worksheetSource name="FinancialData2"/>
  </cacheSource>
  <cacheFields count="11">
    <cacheField name="Month" numFmtId="49">
      <sharedItems/>
    </cacheField>
    <cacheField name="Month No." numFmtId="1">
      <sharedItems containsSemiMixedTypes="0" containsString="0" containsNumber="1" containsInteger="1" minValue="1" maxValue="12"/>
    </cacheField>
    <cacheField name="Quarter" numFmtId="0">
      <sharedItems count="4">
        <s v="Q1"/>
        <s v="Q2"/>
        <s v="Q3"/>
        <s v="Q4"/>
      </sharedItems>
    </cacheField>
    <cacheField name="Product" numFmtId="49">
      <sharedItems count="2">
        <s v="Asobe Shirt"/>
        <s v="Zen T-Shirt"/>
      </sharedItems>
    </cacheField>
    <cacheField name="Revenue" numFmtId="165">
      <sharedItems containsSemiMixedTypes="0" containsString="0" containsNumber="1" containsInteger="1" minValue="2093322" maxValue="17872796"/>
    </cacheField>
    <cacheField name="Expenses" numFmtId="165">
      <sharedItems containsSemiMixedTypes="0" containsString="0" containsNumber="1" containsInteger="1" minValue="846252" maxValue="9516586"/>
    </cacheField>
    <cacheField name="Profit" numFmtId="165">
      <sharedItems containsSemiMixedTypes="0" containsString="0" containsNumber="1" containsInteger="1" minValue="227945" maxValue="14021471"/>
    </cacheField>
    <cacheField name="Profit Margin" numFmtId="10">
      <sharedItems containsSemiMixedTypes="0" containsString="0" containsNumber="1" minValue="7.3154137335102717E-2" maxValue="0.8607268019570018" count="24">
        <n v="0.59573730176246176"/>
        <n v="0.7624659207143718"/>
        <n v="0.11762656220347809"/>
        <n v="0.15362667934561614"/>
        <n v="0.12952072986966848"/>
        <n v="0.62870651783431641"/>
        <n v="0.8607268019570018"/>
        <n v="0.72668489609179421"/>
        <n v="0.71133460175338192"/>
        <n v="0.39459305599339972"/>
        <n v="0.78893667838150361"/>
        <n v="0.14133071536653513"/>
        <n v="0.23092018572738116"/>
        <n v="0.77397070910366195"/>
        <n v="0.34238742451526194"/>
        <n v="0.77255819402851122"/>
        <n v="7.3154137335102717E-2"/>
        <n v="0.48294532208085755"/>
        <n v="0.4685398647894462"/>
        <n v="0.15788044106595064"/>
        <n v="0.11943111639726621"/>
        <n v="0.5870741365159865"/>
        <n v="0.69553232511899743"/>
        <n v="0.32103773403251584"/>
      </sharedItems>
    </cacheField>
    <cacheField name="Expenses Ratio" numFmtId="10">
      <sharedItems containsSemiMixedTypes="0" containsString="0" containsNumber="1" minValue="0.13927319804299818" maxValue="0.92684586266489732"/>
    </cacheField>
    <cacheField name="Date" numFmtId="14">
      <sharedItems containsNonDate="0" containsDate="1" containsString="0" containsBlank="1" minDate="2024-01-01T00:00:00" maxDate="2026-01-01T00:00:00"/>
    </cacheField>
    <cacheField name="Financial Year" numFmtId="0">
      <sharedItems containsSemiMixedTypes="0" containsString="0" containsNumber="1" containsInteger="1" minValue="2024" maxValue="2025" count="2">
        <n v="2025"/>
        <n v="2024"/>
      </sharedItems>
    </cacheField>
  </cacheFields>
  <extLst>
    <ext xmlns:x14="http://schemas.microsoft.com/office/spreadsheetml/2009/9/main" uri="{725AE2AE-9491-48be-B2B4-4EB974FC3084}">
      <x14:pivotCacheDefinition pivotCacheId="288799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x v="0"/>
    <n v="1"/>
    <x v="0"/>
    <x v="0"/>
    <n v="2093322"/>
    <n v="846252"/>
    <n v="1247070"/>
    <n v="0.59573730176246176"/>
    <n v="0.40426269823753824"/>
    <d v="2025-01-24T00:00:00"/>
    <x v="0"/>
  </r>
  <r>
    <x v="0"/>
    <n v="1"/>
    <x v="0"/>
    <x v="0"/>
    <n v="7713630"/>
    <n v="1832250"/>
    <n v="5881380"/>
    <n v="0.7624659207143718"/>
    <n v="0.23753407928562817"/>
    <d v="2025-01-06T00:00:00"/>
    <x v="0"/>
  </r>
  <r>
    <x v="0"/>
    <n v="1"/>
    <x v="0"/>
    <x v="0"/>
    <n v="9869633"/>
    <n v="8708702"/>
    <n v="1160931"/>
    <n v="0.11762656220347809"/>
    <n v="0.88237343779652189"/>
    <d v="2024-01-20T00:00:00"/>
    <x v="1"/>
  </r>
  <r>
    <x v="0"/>
    <n v="1"/>
    <x v="0"/>
    <x v="0"/>
    <n v="7409657"/>
    <n v="6271336"/>
    <n v="1138321"/>
    <n v="0.15362667934561614"/>
    <n v="0.84637332065438386"/>
    <m/>
    <x v="1"/>
  </r>
  <r>
    <x v="0"/>
    <n v="1"/>
    <x v="0"/>
    <x v="0"/>
    <n v="10932582"/>
    <n v="9516586"/>
    <n v="1415996"/>
    <n v="0.12952072986966848"/>
    <n v="0.87047927013033155"/>
    <d v="2025-01-25T00:00:00"/>
    <x v="0"/>
  </r>
  <r>
    <x v="0"/>
    <n v="1"/>
    <x v="0"/>
    <x v="0"/>
    <n v="6641746"/>
    <n v="2466037"/>
    <n v="4175709"/>
    <n v="0.62870651783431641"/>
    <n v="0.37129348216568353"/>
    <d v="2025-01-23T00:00:00"/>
    <x v="0"/>
  </r>
  <r>
    <x v="0"/>
    <n v="1"/>
    <x v="0"/>
    <x v="1"/>
    <n v="9406634"/>
    <n v="1310092"/>
    <n v="8096542"/>
    <n v="0.8607268019570018"/>
    <n v="0.13927319804299818"/>
    <m/>
    <x v="1"/>
  </r>
  <r>
    <x v="0"/>
    <n v="1"/>
    <x v="0"/>
    <x v="1"/>
    <n v="9406634"/>
    <n v="1310092"/>
    <n v="8096542"/>
    <n v="0.8607268019570018"/>
    <n v="0.13927319804299818"/>
    <m/>
    <x v="0"/>
  </r>
  <r>
    <x v="0"/>
    <n v="1"/>
    <x v="0"/>
    <x v="0"/>
    <n v="7713630"/>
    <n v="1832250"/>
    <n v="5881380"/>
    <n v="0.7624659207143718"/>
    <n v="0.23753407928562817"/>
    <d v="2025-01-24T00:00:00"/>
    <x v="0"/>
  </r>
  <r>
    <x v="0"/>
    <n v="1"/>
    <x v="0"/>
    <x v="1"/>
    <n v="12433378"/>
    <n v="3398230"/>
    <n v="9035148"/>
    <n v="0.72668489609179421"/>
    <n v="0.27331510390820579"/>
    <d v="2024-01-22T00:00:00"/>
    <x v="1"/>
  </r>
  <r>
    <x v="0"/>
    <n v="1"/>
    <x v="0"/>
    <x v="1"/>
    <n v="13395142"/>
    <n v="3866714"/>
    <n v="9528428"/>
    <n v="0.71133460175338192"/>
    <n v="0.28866539824661808"/>
    <d v="2024-01-11T00:00:00"/>
    <x v="1"/>
  </r>
  <r>
    <x v="0"/>
    <n v="1"/>
    <x v="0"/>
    <x v="1"/>
    <n v="9406634"/>
    <n v="1310092"/>
    <n v="8096542"/>
    <n v="0.8607268019570018"/>
    <n v="0.13927319804299818"/>
    <d v="2025-01-22T00:00:00"/>
    <x v="0"/>
  </r>
  <r>
    <x v="0"/>
    <n v="1"/>
    <x v="0"/>
    <x v="1"/>
    <n v="13395811"/>
    <n v="8109917"/>
    <n v="5285894"/>
    <n v="0.39459305599339972"/>
    <n v="0.60540694400660022"/>
    <d v="2024-01-26T00:00:00"/>
    <x v="1"/>
  </r>
  <r>
    <x v="0"/>
    <n v="1"/>
    <x v="0"/>
    <x v="1"/>
    <n v="17772619"/>
    <n v="3751148"/>
    <n v="14021471"/>
    <n v="0.78893667838150361"/>
    <n v="0.21106332161849642"/>
    <d v="2024-01-01T00:00:00"/>
    <x v="1"/>
  </r>
  <r>
    <x v="0"/>
    <n v="1"/>
    <x v="0"/>
    <x v="1"/>
    <n v="6659621"/>
    <n v="5718412"/>
    <n v="941209"/>
    <n v="0.14133071536653513"/>
    <n v="0.85866928463346492"/>
    <m/>
    <x v="1"/>
  </r>
  <r>
    <x v="0"/>
    <n v="1"/>
    <x v="0"/>
    <x v="1"/>
    <n v="9406634"/>
    <n v="1310092"/>
    <n v="8096542"/>
    <n v="0.8607268019570018"/>
    <n v="0.13927319804299818"/>
    <d v="2025-01-14T00:00:00"/>
    <x v="0"/>
  </r>
  <r>
    <x v="0"/>
    <n v="1"/>
    <x v="0"/>
    <x v="1"/>
    <n v="9166769"/>
    <n v="7049977"/>
    <n v="2116792"/>
    <n v="0.23092018572738116"/>
    <n v="0.76907981427261884"/>
    <d v="2024-01-12T00:00:00"/>
    <x v="1"/>
  </r>
  <r>
    <x v="0"/>
    <n v="1"/>
    <x v="0"/>
    <x v="1"/>
    <n v="10655734"/>
    <n v="2408508"/>
    <n v="8247226"/>
    <n v="0.77397070910366195"/>
    <n v="0.22602929089633805"/>
    <d v="2025-01-17T00:00:00"/>
    <x v="0"/>
  </r>
  <r>
    <x v="0"/>
    <n v="1"/>
    <x v="0"/>
    <x v="0"/>
    <n v="6641746"/>
    <n v="2466037"/>
    <n v="4175709"/>
    <n v="0.62870651783431641"/>
    <n v="0.37129348216568353"/>
    <d v="2024-01-28T00:00:00"/>
    <x v="1"/>
  </r>
  <r>
    <x v="0"/>
    <n v="1"/>
    <x v="0"/>
    <x v="0"/>
    <n v="7684666"/>
    <n v="5053533"/>
    <n v="2631133"/>
    <n v="0.34238742451526194"/>
    <n v="0.65761257548473806"/>
    <d v="2024-01-31T00:00:00"/>
    <x v="1"/>
  </r>
  <r>
    <x v="0"/>
    <n v="1"/>
    <x v="0"/>
    <x v="0"/>
    <n v="2093322"/>
    <n v="846252"/>
    <n v="1247070"/>
    <n v="0.59573730176246176"/>
    <n v="0.40426269823753824"/>
    <d v="2025-01-29T00:00:00"/>
    <x v="0"/>
  </r>
  <r>
    <x v="0"/>
    <n v="1"/>
    <x v="0"/>
    <x v="0"/>
    <n v="7684666"/>
    <n v="5053533"/>
    <n v="2631133"/>
    <n v="0.34238742451526194"/>
    <n v="0.65761257548473806"/>
    <d v="2024-01-08T00:00:00"/>
    <x v="1"/>
  </r>
  <r>
    <x v="0"/>
    <n v="1"/>
    <x v="0"/>
    <x v="0"/>
    <n v="10932582"/>
    <n v="9516586"/>
    <n v="1415996"/>
    <n v="0.12952072986966848"/>
    <n v="0.87047927013033155"/>
    <d v="2025-01-17T00:00:00"/>
    <x v="0"/>
  </r>
  <r>
    <x v="0"/>
    <n v="1"/>
    <x v="0"/>
    <x v="0"/>
    <n v="7713630"/>
    <n v="1832250"/>
    <n v="5881380"/>
    <n v="0.7624659207143718"/>
    <n v="0.23753407928562817"/>
    <d v="2024-01-04T00:00:00"/>
    <x v="1"/>
  </r>
  <r>
    <x v="0"/>
    <n v="1"/>
    <x v="0"/>
    <x v="0"/>
    <n v="6641746"/>
    <n v="2466037"/>
    <n v="4175709"/>
    <n v="0.62870651783431641"/>
    <n v="0.37129348216568353"/>
    <d v="2025-01-02T00:00:00"/>
    <x v="0"/>
  </r>
  <r>
    <x v="1"/>
    <n v="2"/>
    <x v="0"/>
    <x v="1"/>
    <n v="9406634"/>
    <n v="1310092"/>
    <n v="8096542"/>
    <n v="0.8607268019570018"/>
    <n v="0.13927319804299818"/>
    <d v="2024-02-27T00:00:00"/>
    <x v="1"/>
  </r>
  <r>
    <x v="1"/>
    <n v="2"/>
    <x v="0"/>
    <x v="1"/>
    <n v="6659621"/>
    <n v="5718412"/>
    <n v="941209"/>
    <n v="0.14133071536653513"/>
    <n v="0.85866928463346492"/>
    <d v="2024-02-02T00:00:00"/>
    <x v="1"/>
  </r>
  <r>
    <x v="1"/>
    <n v="2"/>
    <x v="0"/>
    <x v="0"/>
    <n v="6641746"/>
    <n v="2466037"/>
    <n v="4175709"/>
    <n v="0.62870651783431641"/>
    <n v="0.37129348216568353"/>
    <d v="2025-02-09T00:00:00"/>
    <x v="0"/>
  </r>
  <r>
    <x v="1"/>
    <n v="2"/>
    <x v="0"/>
    <x v="1"/>
    <n v="12433378"/>
    <n v="3398230"/>
    <n v="9035148"/>
    <n v="0.72668489609179421"/>
    <n v="0.27331510390820579"/>
    <d v="2025-02-14T00:00:00"/>
    <x v="0"/>
  </r>
  <r>
    <x v="1"/>
    <n v="2"/>
    <x v="0"/>
    <x v="1"/>
    <n v="17872796"/>
    <n v="4065021"/>
    <n v="13807775"/>
    <n v="0.77255819402851122"/>
    <n v="0.22744180597148875"/>
    <d v="2024-02-14T00:00:00"/>
    <x v="1"/>
  </r>
  <r>
    <x v="1"/>
    <n v="2"/>
    <x v="0"/>
    <x v="0"/>
    <n v="6641746"/>
    <n v="2466037"/>
    <n v="4175709"/>
    <n v="0.62870651783431641"/>
    <n v="0.37129348216568353"/>
    <d v="2025-02-12T00:00:00"/>
    <x v="0"/>
  </r>
  <r>
    <x v="1"/>
    <n v="2"/>
    <x v="0"/>
    <x v="0"/>
    <n v="3115955"/>
    <n v="2888010"/>
    <n v="227945"/>
    <n v="7.3154137335102717E-2"/>
    <n v="0.92684586266489732"/>
    <d v="2024-02-02T00:00:00"/>
    <x v="1"/>
  </r>
  <r>
    <x v="1"/>
    <n v="2"/>
    <x v="0"/>
    <x v="0"/>
    <n v="6641746"/>
    <n v="2466037"/>
    <n v="4175709"/>
    <n v="0.62870651783431641"/>
    <n v="0.37129348216568353"/>
    <d v="2024-02-29T00:00:00"/>
    <x v="1"/>
  </r>
  <r>
    <x v="1"/>
    <n v="2"/>
    <x v="0"/>
    <x v="1"/>
    <n v="17872796"/>
    <n v="4065021"/>
    <n v="13807775"/>
    <n v="0.77255819402851122"/>
    <n v="0.22744180597148875"/>
    <d v="2025-02-10T00:00:00"/>
    <x v="0"/>
  </r>
  <r>
    <x v="1"/>
    <n v="2"/>
    <x v="0"/>
    <x v="0"/>
    <n v="9814492"/>
    <n v="5074629"/>
    <n v="4739863"/>
    <n v="0.48294532208085755"/>
    <n v="0.51705467791914239"/>
    <d v="2024-02-02T00:00:00"/>
    <x v="1"/>
  </r>
  <r>
    <x v="1"/>
    <n v="2"/>
    <x v="0"/>
    <x v="1"/>
    <n v="6659621"/>
    <n v="5718412"/>
    <n v="941209"/>
    <n v="0.14133071536653513"/>
    <n v="0.85866928463346492"/>
    <d v="2025-02-12T00:00:00"/>
    <x v="0"/>
  </r>
  <r>
    <x v="1"/>
    <n v="2"/>
    <x v="0"/>
    <x v="0"/>
    <n v="9814492"/>
    <n v="5074629"/>
    <n v="4739863"/>
    <n v="0.48294532208085755"/>
    <n v="0.51705467791914239"/>
    <d v="2024-02-18T00:00:00"/>
    <x v="1"/>
  </r>
  <r>
    <x v="1"/>
    <n v="2"/>
    <x v="0"/>
    <x v="0"/>
    <n v="6629660"/>
    <n v="3523400"/>
    <n v="3106260"/>
    <n v="0.4685398647894462"/>
    <n v="0.5314601352105538"/>
    <d v="2024-02-09T00:00:00"/>
    <x v="1"/>
  </r>
  <r>
    <x v="1"/>
    <n v="2"/>
    <x v="0"/>
    <x v="0"/>
    <n v="9869633"/>
    <n v="8708702"/>
    <n v="1160931"/>
    <n v="0.11762656220347809"/>
    <n v="0.88237343779652189"/>
    <d v="2024-02-16T00:00:00"/>
    <x v="1"/>
  </r>
  <r>
    <x v="1"/>
    <n v="2"/>
    <x v="0"/>
    <x v="0"/>
    <n v="9869633"/>
    <n v="8708702"/>
    <n v="1160931"/>
    <n v="0.11762656220347809"/>
    <n v="0.88237343779652189"/>
    <d v="2025-02-11T00:00:00"/>
    <x v="0"/>
  </r>
  <r>
    <x v="2"/>
    <n v="3"/>
    <x v="0"/>
    <x v="0"/>
    <n v="10932582"/>
    <n v="9516586"/>
    <n v="1415996"/>
    <n v="0.12952072986966848"/>
    <n v="0.87047927013033155"/>
    <d v="2024-03-21T00:00:00"/>
    <x v="1"/>
  </r>
  <r>
    <x v="2"/>
    <n v="3"/>
    <x v="0"/>
    <x v="1"/>
    <n v="13395811"/>
    <n v="8109917"/>
    <n v="5285894"/>
    <n v="0.39459305599339972"/>
    <n v="0.60540694400660022"/>
    <d v="2025-03-05T00:00:00"/>
    <x v="0"/>
  </r>
  <r>
    <x v="2"/>
    <n v="3"/>
    <x v="0"/>
    <x v="0"/>
    <n v="7409657"/>
    <n v="6271336"/>
    <n v="1138321"/>
    <n v="0.15362667934561614"/>
    <n v="0.84637332065438386"/>
    <d v="2024-03-14T00:00:00"/>
    <x v="1"/>
  </r>
  <r>
    <x v="2"/>
    <n v="3"/>
    <x v="0"/>
    <x v="0"/>
    <n v="7684666"/>
    <n v="5053533"/>
    <n v="2631133"/>
    <n v="0.34238742451526194"/>
    <n v="0.65761257548473806"/>
    <d v="2024-03-12T00:00:00"/>
    <x v="1"/>
  </r>
  <r>
    <x v="2"/>
    <n v="3"/>
    <x v="0"/>
    <x v="1"/>
    <n v="13395811"/>
    <n v="8109917"/>
    <n v="5285894"/>
    <n v="0.39459305599339972"/>
    <n v="0.60540694400660022"/>
    <d v="2024-03-11T00:00:00"/>
    <x v="1"/>
  </r>
  <r>
    <x v="2"/>
    <n v="3"/>
    <x v="0"/>
    <x v="0"/>
    <n v="6629660"/>
    <n v="3523400"/>
    <n v="3106260"/>
    <n v="0.4685398647894462"/>
    <n v="0.5314601352105538"/>
    <d v="2024-03-22T00:00:00"/>
    <x v="1"/>
  </r>
  <r>
    <x v="2"/>
    <n v="3"/>
    <x v="0"/>
    <x v="1"/>
    <n v="9166769"/>
    <n v="7049977"/>
    <n v="2116792"/>
    <n v="0.23092018572738116"/>
    <n v="0.76907981427261884"/>
    <d v="2024-03-21T00:00:00"/>
    <x v="1"/>
  </r>
  <r>
    <x v="2"/>
    <n v="3"/>
    <x v="0"/>
    <x v="1"/>
    <n v="10422659"/>
    <n v="8777125"/>
    <n v="1645534"/>
    <n v="0.15788044106595064"/>
    <n v="0.84211955893404933"/>
    <d v="2025-03-06T00:00:00"/>
    <x v="0"/>
  </r>
  <r>
    <x v="2"/>
    <n v="3"/>
    <x v="0"/>
    <x v="0"/>
    <n v="2093322"/>
    <n v="846252"/>
    <n v="1247070"/>
    <n v="0.59573730176246176"/>
    <n v="0.40426269823753824"/>
    <d v="2025-03-08T00:00:00"/>
    <x v="0"/>
  </r>
  <r>
    <x v="2"/>
    <n v="3"/>
    <x v="0"/>
    <x v="1"/>
    <n v="8925622"/>
    <n v="7859625"/>
    <n v="1065997"/>
    <n v="0.11943111639726621"/>
    <n v="0.88056888360273378"/>
    <d v="2025-03-07T00:00:00"/>
    <x v="0"/>
  </r>
  <r>
    <x v="2"/>
    <n v="3"/>
    <x v="0"/>
    <x v="0"/>
    <n v="3115955"/>
    <n v="2888010"/>
    <n v="227945"/>
    <n v="7.3154137335102717E-2"/>
    <n v="0.92684586266489732"/>
    <d v="2024-03-10T00:00:00"/>
    <x v="1"/>
  </r>
  <r>
    <x v="2"/>
    <n v="3"/>
    <x v="0"/>
    <x v="0"/>
    <n v="7713630"/>
    <n v="1832250"/>
    <n v="5881380"/>
    <n v="0.7624659207143718"/>
    <n v="0.23753407928562817"/>
    <d v="2024-03-01T00:00:00"/>
    <x v="1"/>
  </r>
  <r>
    <x v="2"/>
    <n v="3"/>
    <x v="0"/>
    <x v="0"/>
    <n v="7409657"/>
    <n v="6271336"/>
    <n v="1138321"/>
    <n v="0.15362667934561614"/>
    <n v="0.84637332065438386"/>
    <d v="2025-03-08T00:00:00"/>
    <x v="0"/>
  </r>
  <r>
    <x v="2"/>
    <n v="3"/>
    <x v="0"/>
    <x v="1"/>
    <n v="9406634"/>
    <n v="1310092"/>
    <n v="8096542"/>
    <n v="0.8607268019570018"/>
    <n v="0.13927319804299818"/>
    <d v="2025-03-14T00:00:00"/>
    <x v="0"/>
  </r>
  <r>
    <x v="2"/>
    <n v="3"/>
    <x v="0"/>
    <x v="0"/>
    <n v="10932582"/>
    <n v="9516586"/>
    <n v="1415996"/>
    <n v="0.12952072986966848"/>
    <n v="0.87047927013033155"/>
    <d v="2024-03-13T00:00:00"/>
    <x v="1"/>
  </r>
  <r>
    <x v="2"/>
    <n v="3"/>
    <x v="0"/>
    <x v="1"/>
    <n v="17872796"/>
    <n v="4065021"/>
    <n v="13807775"/>
    <n v="0.77255819402851122"/>
    <n v="0.22744180597148875"/>
    <d v="2024-03-28T00:00:00"/>
    <x v="1"/>
  </r>
  <r>
    <x v="2"/>
    <n v="3"/>
    <x v="0"/>
    <x v="0"/>
    <n v="9869633"/>
    <n v="8708702"/>
    <n v="1160931"/>
    <n v="0.11762656220347809"/>
    <n v="0.88237343779652189"/>
    <d v="2024-03-13T00:00:00"/>
    <x v="1"/>
  </r>
  <r>
    <x v="2"/>
    <n v="3"/>
    <x v="0"/>
    <x v="1"/>
    <n v="17872796"/>
    <n v="4065021"/>
    <n v="13807775"/>
    <n v="0.77255819402851122"/>
    <n v="0.22744180597148875"/>
    <d v="2025-03-24T00:00:00"/>
    <x v="0"/>
  </r>
  <r>
    <x v="2"/>
    <n v="3"/>
    <x v="0"/>
    <x v="1"/>
    <n v="13243123"/>
    <n v="5468428"/>
    <n v="7774695"/>
    <n v="0.5870741365159865"/>
    <n v="0.41292586348401356"/>
    <d v="2024-03-30T00:00:00"/>
    <x v="1"/>
  </r>
  <r>
    <x v="2"/>
    <n v="3"/>
    <x v="0"/>
    <x v="0"/>
    <n v="9869633"/>
    <n v="8708702"/>
    <n v="1160931"/>
    <n v="0.11762656220347809"/>
    <n v="0.88237343779652189"/>
    <d v="2025-03-21T00:00:00"/>
    <x v="0"/>
  </r>
  <r>
    <x v="3"/>
    <n v="4"/>
    <x v="1"/>
    <x v="0"/>
    <n v="7409657"/>
    <n v="6271336"/>
    <n v="1138321"/>
    <n v="0.15362667934561614"/>
    <n v="0.84637332065438386"/>
    <d v="2024-04-03T00:00:00"/>
    <x v="1"/>
  </r>
  <r>
    <x v="3"/>
    <n v="4"/>
    <x v="1"/>
    <x v="0"/>
    <n v="6629660"/>
    <n v="3523400"/>
    <n v="3106260"/>
    <n v="0.4685398647894462"/>
    <n v="0.5314601352105538"/>
    <d v="2025-04-18T00:00:00"/>
    <x v="0"/>
  </r>
  <r>
    <x v="3"/>
    <n v="4"/>
    <x v="1"/>
    <x v="0"/>
    <n v="10887632"/>
    <n v="3314932"/>
    <n v="7572700"/>
    <n v="0.69553232511899743"/>
    <n v="0.30446767488100257"/>
    <d v="2025-04-09T00:00:00"/>
    <x v="0"/>
  </r>
  <r>
    <x v="3"/>
    <n v="4"/>
    <x v="1"/>
    <x v="0"/>
    <n v="6629660"/>
    <n v="3523400"/>
    <n v="3106260"/>
    <n v="0.4685398647894462"/>
    <n v="0.5314601352105538"/>
    <d v="2025-04-14T00:00:00"/>
    <x v="0"/>
  </r>
  <r>
    <x v="3"/>
    <n v="4"/>
    <x v="1"/>
    <x v="0"/>
    <n v="5297234"/>
    <n v="3596622"/>
    <n v="1700612"/>
    <n v="0.32103773403251584"/>
    <n v="0.67896226596748421"/>
    <d v="2024-04-14T00:00:00"/>
    <x v="1"/>
  </r>
  <r>
    <x v="3"/>
    <n v="4"/>
    <x v="1"/>
    <x v="0"/>
    <n v="10932582"/>
    <n v="9516586"/>
    <n v="1415996"/>
    <n v="0.12952072986966848"/>
    <n v="0.87047927013033155"/>
    <d v="2024-04-18T00:00:00"/>
    <x v="1"/>
  </r>
  <r>
    <x v="3"/>
    <n v="4"/>
    <x v="1"/>
    <x v="0"/>
    <n v="5297234"/>
    <n v="3596622"/>
    <n v="1700612"/>
    <n v="0.32103773403251584"/>
    <n v="0.67896226596748421"/>
    <d v="2024-04-24T00:00:00"/>
    <x v="1"/>
  </r>
  <r>
    <x v="3"/>
    <n v="4"/>
    <x v="1"/>
    <x v="1"/>
    <n v="13395142"/>
    <n v="3866714"/>
    <n v="9528428"/>
    <n v="0.71133460175338192"/>
    <n v="0.28866539824661808"/>
    <d v="2025-04-24T00:00:00"/>
    <x v="0"/>
  </r>
  <r>
    <x v="3"/>
    <n v="4"/>
    <x v="1"/>
    <x v="1"/>
    <n v="13395142"/>
    <n v="3866714"/>
    <n v="9528428"/>
    <n v="0.71133460175338192"/>
    <n v="0.28866539824661808"/>
    <d v="2024-04-24T00:00:00"/>
    <x v="1"/>
  </r>
  <r>
    <x v="3"/>
    <n v="4"/>
    <x v="1"/>
    <x v="1"/>
    <n v="10655734"/>
    <n v="2408508"/>
    <n v="8247226"/>
    <n v="0.77397070910366195"/>
    <n v="0.22602929089633805"/>
    <d v="2024-04-27T00:00:00"/>
    <x v="1"/>
  </r>
  <r>
    <x v="3"/>
    <n v="4"/>
    <x v="1"/>
    <x v="1"/>
    <n v="9406634"/>
    <n v="1310092"/>
    <n v="8096542"/>
    <n v="0.8607268019570018"/>
    <n v="0.13927319804299818"/>
    <d v="2025-04-04T00:00:00"/>
    <x v="0"/>
  </r>
  <r>
    <x v="3"/>
    <n v="4"/>
    <x v="1"/>
    <x v="0"/>
    <n v="7684666"/>
    <n v="5053533"/>
    <n v="2631133"/>
    <n v="0.34238742451526194"/>
    <n v="0.65761257548473806"/>
    <d v="2024-04-22T00:00:00"/>
    <x v="1"/>
  </r>
  <r>
    <x v="3"/>
    <n v="4"/>
    <x v="1"/>
    <x v="0"/>
    <n v="10887632"/>
    <n v="3314932"/>
    <n v="7572700"/>
    <n v="0.69553232511899743"/>
    <n v="0.30446767488100257"/>
    <d v="2024-04-04T00:00:00"/>
    <x v="1"/>
  </r>
  <r>
    <x v="3"/>
    <n v="4"/>
    <x v="1"/>
    <x v="0"/>
    <n v="9814492"/>
    <n v="5074629"/>
    <n v="4739863"/>
    <n v="0.48294532208085755"/>
    <n v="0.51705467791914239"/>
    <d v="2024-04-24T00:00:00"/>
    <x v="1"/>
  </r>
  <r>
    <x v="3"/>
    <n v="4"/>
    <x v="1"/>
    <x v="0"/>
    <n v="6629660"/>
    <n v="3523400"/>
    <n v="3106260"/>
    <n v="0.4685398647894462"/>
    <n v="0.5314601352105538"/>
    <d v="2024-04-09T00:00:00"/>
    <x v="1"/>
  </r>
  <r>
    <x v="3"/>
    <n v="4"/>
    <x v="1"/>
    <x v="1"/>
    <n v="17772619"/>
    <n v="3751148"/>
    <n v="14021471"/>
    <n v="0.78893667838150361"/>
    <n v="0.21106332161849642"/>
    <d v="2024-04-08T00:00:00"/>
    <x v="1"/>
  </r>
  <r>
    <x v="3"/>
    <n v="4"/>
    <x v="1"/>
    <x v="1"/>
    <n v="13395811"/>
    <n v="8109917"/>
    <n v="5285894"/>
    <n v="0.39459305599339972"/>
    <n v="0.60540694400660022"/>
    <d v="2025-04-07T00:00:00"/>
    <x v="0"/>
  </r>
  <r>
    <x v="3"/>
    <n v="4"/>
    <x v="1"/>
    <x v="1"/>
    <n v="10655734"/>
    <n v="2408508"/>
    <n v="8247226"/>
    <n v="0.77397070910366195"/>
    <n v="0.22602929089633805"/>
    <d v="2024-04-14T00:00:00"/>
    <x v="1"/>
  </r>
  <r>
    <x v="3"/>
    <n v="4"/>
    <x v="1"/>
    <x v="0"/>
    <n v="9869633"/>
    <n v="8708702"/>
    <n v="1160931"/>
    <n v="0.11762656220347809"/>
    <n v="0.88237343779652189"/>
    <d v="2024-04-05T00:00:00"/>
    <x v="1"/>
  </r>
  <r>
    <x v="3"/>
    <n v="4"/>
    <x v="1"/>
    <x v="0"/>
    <n v="3115955"/>
    <n v="2888010"/>
    <n v="227945"/>
    <n v="7.3154137335102717E-2"/>
    <n v="0.92684586266489732"/>
    <d v="2024-04-13T00:00:00"/>
    <x v="1"/>
  </r>
  <r>
    <x v="3"/>
    <n v="4"/>
    <x v="1"/>
    <x v="1"/>
    <n v="13395142"/>
    <n v="3866714"/>
    <n v="9528428"/>
    <n v="0.71133460175338192"/>
    <n v="0.28866539824661808"/>
    <d v="2025-04-15T00:00:00"/>
    <x v="0"/>
  </r>
  <r>
    <x v="3"/>
    <n v="4"/>
    <x v="1"/>
    <x v="0"/>
    <n v="7684666"/>
    <n v="5053533"/>
    <n v="2631133"/>
    <n v="0.34238742451526194"/>
    <n v="0.65761257548473806"/>
    <d v="2024-04-08T00:00:00"/>
    <x v="1"/>
  </r>
  <r>
    <x v="4"/>
    <n v="5"/>
    <x v="1"/>
    <x v="1"/>
    <n v="12433378"/>
    <n v="3398230"/>
    <n v="9035148"/>
    <n v="0.72668489609179421"/>
    <n v="0.27331510390820579"/>
    <d v="2025-05-10T00:00:00"/>
    <x v="0"/>
  </r>
  <r>
    <x v="4"/>
    <n v="5"/>
    <x v="1"/>
    <x v="0"/>
    <n v="9869633"/>
    <n v="8708702"/>
    <n v="1160931"/>
    <n v="0.11762656220347809"/>
    <n v="0.88237343779652189"/>
    <d v="2024-05-06T00:00:00"/>
    <x v="1"/>
  </r>
  <r>
    <x v="4"/>
    <n v="5"/>
    <x v="1"/>
    <x v="0"/>
    <n v="2093322"/>
    <n v="846252"/>
    <n v="1247070"/>
    <n v="0.59573730176246176"/>
    <n v="0.40426269823753824"/>
    <d v="2024-05-22T00:00:00"/>
    <x v="1"/>
  </r>
  <r>
    <x v="4"/>
    <n v="5"/>
    <x v="1"/>
    <x v="1"/>
    <n v="13243123"/>
    <n v="5468428"/>
    <n v="7774695"/>
    <n v="0.5870741365159865"/>
    <n v="0.41292586348401356"/>
    <d v="2025-05-01T00:00:00"/>
    <x v="0"/>
  </r>
  <r>
    <x v="4"/>
    <n v="5"/>
    <x v="1"/>
    <x v="1"/>
    <n v="9166769"/>
    <n v="7049977"/>
    <n v="2116792"/>
    <n v="0.23092018572738116"/>
    <n v="0.76907981427261884"/>
    <d v="2024-05-11T00:00:00"/>
    <x v="1"/>
  </r>
  <r>
    <x v="4"/>
    <n v="5"/>
    <x v="1"/>
    <x v="1"/>
    <n v="9406634"/>
    <n v="1310092"/>
    <n v="8096542"/>
    <n v="0.8607268019570018"/>
    <n v="0.13927319804299818"/>
    <d v="2024-05-08T00:00:00"/>
    <x v="1"/>
  </r>
  <r>
    <x v="4"/>
    <n v="5"/>
    <x v="1"/>
    <x v="0"/>
    <n v="7684666"/>
    <n v="5053533"/>
    <n v="2631133"/>
    <n v="0.34238742451526194"/>
    <n v="0.65761257548473806"/>
    <d v="2024-05-08T00:00:00"/>
    <x v="1"/>
  </r>
  <r>
    <x v="4"/>
    <n v="5"/>
    <x v="1"/>
    <x v="0"/>
    <n v="5297234"/>
    <n v="3596622"/>
    <n v="1700612"/>
    <n v="0.32103773403251584"/>
    <n v="0.67896226596748421"/>
    <d v="2025-05-26T00:00:00"/>
    <x v="0"/>
  </r>
  <r>
    <x v="4"/>
    <n v="5"/>
    <x v="1"/>
    <x v="0"/>
    <n v="6641746"/>
    <n v="2466037"/>
    <n v="4175709"/>
    <n v="0.62870651783431641"/>
    <n v="0.37129348216568353"/>
    <d v="2025-05-27T00:00:00"/>
    <x v="0"/>
  </r>
  <r>
    <x v="4"/>
    <n v="5"/>
    <x v="1"/>
    <x v="0"/>
    <n v="6641746"/>
    <n v="2466037"/>
    <n v="4175709"/>
    <n v="0.62870651783431641"/>
    <n v="0.37129348216568353"/>
    <d v="2024-05-26T00:00:00"/>
    <x v="1"/>
  </r>
  <r>
    <x v="4"/>
    <n v="5"/>
    <x v="1"/>
    <x v="1"/>
    <n v="10655734"/>
    <n v="2408508"/>
    <n v="8247226"/>
    <n v="0.77397070910366195"/>
    <n v="0.22602929089633805"/>
    <d v="2025-05-01T00:00:00"/>
    <x v="0"/>
  </r>
  <r>
    <x v="4"/>
    <n v="5"/>
    <x v="1"/>
    <x v="1"/>
    <n v="8925622"/>
    <n v="7859625"/>
    <n v="1065997"/>
    <n v="0.11943111639726621"/>
    <n v="0.88056888360273378"/>
    <d v="2024-05-21T00:00:00"/>
    <x v="1"/>
  </r>
  <r>
    <x v="4"/>
    <n v="5"/>
    <x v="1"/>
    <x v="1"/>
    <n v="10422659"/>
    <n v="8777125"/>
    <n v="1645534"/>
    <n v="0.15788044106595064"/>
    <n v="0.84211955893404933"/>
    <d v="2024-05-03T00:00:00"/>
    <x v="1"/>
  </r>
  <r>
    <x v="4"/>
    <n v="5"/>
    <x v="1"/>
    <x v="1"/>
    <n v="6659621"/>
    <n v="5718412"/>
    <n v="941209"/>
    <n v="0.14133071536653513"/>
    <n v="0.85866928463346492"/>
    <d v="2024-05-22T00:00:00"/>
    <x v="1"/>
  </r>
  <r>
    <x v="4"/>
    <n v="5"/>
    <x v="1"/>
    <x v="1"/>
    <n v="10655734"/>
    <n v="2408508"/>
    <n v="8247226"/>
    <n v="0.77397070910366195"/>
    <n v="0.22602929089633805"/>
    <d v="2024-05-15T00:00:00"/>
    <x v="1"/>
  </r>
  <r>
    <x v="4"/>
    <n v="5"/>
    <x v="1"/>
    <x v="1"/>
    <n v="13243123"/>
    <n v="5468428"/>
    <n v="7774695"/>
    <n v="0.5870741365159865"/>
    <n v="0.41292586348401356"/>
    <d v="2025-05-06T00:00:00"/>
    <x v="0"/>
  </r>
  <r>
    <x v="4"/>
    <n v="5"/>
    <x v="1"/>
    <x v="1"/>
    <n v="17772619"/>
    <n v="3751148"/>
    <n v="14021471"/>
    <n v="0.78893667838150361"/>
    <n v="0.21106332161849642"/>
    <d v="2025-05-20T00:00:00"/>
    <x v="0"/>
  </r>
  <r>
    <x v="4"/>
    <n v="5"/>
    <x v="1"/>
    <x v="0"/>
    <n v="7684666"/>
    <n v="5053533"/>
    <n v="2631133"/>
    <n v="0.34238742451526194"/>
    <n v="0.65761257548473806"/>
    <d v="2025-05-15T00:00:00"/>
    <x v="0"/>
  </r>
  <r>
    <x v="5"/>
    <n v="6"/>
    <x v="1"/>
    <x v="0"/>
    <n v="2093322"/>
    <n v="846252"/>
    <n v="1247070"/>
    <n v="0.59573730176246176"/>
    <n v="0.40426269823753824"/>
    <d v="2025-06-03T00:00:00"/>
    <x v="0"/>
  </r>
  <r>
    <x v="5"/>
    <n v="6"/>
    <x v="1"/>
    <x v="0"/>
    <n v="3115955"/>
    <n v="2888010"/>
    <n v="227945"/>
    <n v="7.3154137335102717E-2"/>
    <n v="0.92684586266489732"/>
    <d v="2024-06-03T00:00:00"/>
    <x v="1"/>
  </r>
  <r>
    <x v="5"/>
    <n v="6"/>
    <x v="1"/>
    <x v="0"/>
    <n v="10887632"/>
    <n v="3314932"/>
    <n v="7572700"/>
    <n v="0.69553232511899743"/>
    <n v="0.30446767488100257"/>
    <d v="2025-06-01T00:00:00"/>
    <x v="0"/>
  </r>
  <r>
    <x v="5"/>
    <n v="6"/>
    <x v="1"/>
    <x v="1"/>
    <n v="13395142"/>
    <n v="3866714"/>
    <n v="9528428"/>
    <n v="0.71133460175338192"/>
    <n v="0.28866539824661808"/>
    <d v="2025-06-13T00:00:00"/>
    <x v="0"/>
  </r>
  <r>
    <x v="5"/>
    <n v="6"/>
    <x v="1"/>
    <x v="1"/>
    <n v="13243123"/>
    <n v="5468428"/>
    <n v="7774695"/>
    <n v="0.5870741365159865"/>
    <n v="0.41292586348401356"/>
    <d v="2025-06-27T00:00:00"/>
    <x v="0"/>
  </r>
  <r>
    <x v="5"/>
    <n v="6"/>
    <x v="1"/>
    <x v="1"/>
    <n v="6659621"/>
    <n v="5718412"/>
    <n v="941209"/>
    <n v="0.14133071536653513"/>
    <n v="0.85866928463346492"/>
    <d v="2024-06-03T00:00:00"/>
    <x v="1"/>
  </r>
  <r>
    <x v="5"/>
    <n v="6"/>
    <x v="1"/>
    <x v="1"/>
    <n v="12433378"/>
    <n v="3398230"/>
    <n v="9035148"/>
    <n v="0.72668489609179421"/>
    <n v="0.27331510390820579"/>
    <d v="2024-06-12T00:00:00"/>
    <x v="1"/>
  </r>
  <r>
    <x v="5"/>
    <n v="6"/>
    <x v="1"/>
    <x v="1"/>
    <n v="13395811"/>
    <n v="8109917"/>
    <n v="5285894"/>
    <n v="0.39459305599339972"/>
    <n v="0.60540694400660022"/>
    <d v="2025-06-25T00:00:00"/>
    <x v="0"/>
  </r>
  <r>
    <x v="5"/>
    <n v="6"/>
    <x v="1"/>
    <x v="1"/>
    <n v="12433378"/>
    <n v="3398230"/>
    <n v="9035148"/>
    <n v="0.72668489609179421"/>
    <n v="0.27331510390820579"/>
    <d v="2024-06-14T00:00:00"/>
    <x v="1"/>
  </r>
  <r>
    <x v="5"/>
    <n v="6"/>
    <x v="1"/>
    <x v="0"/>
    <n v="5297234"/>
    <n v="3596622"/>
    <n v="1700612"/>
    <n v="0.32103773403251584"/>
    <n v="0.67896226596748421"/>
    <d v="2024-06-10T00:00:00"/>
    <x v="1"/>
  </r>
  <r>
    <x v="5"/>
    <n v="6"/>
    <x v="1"/>
    <x v="1"/>
    <n v="17772619"/>
    <n v="3751148"/>
    <n v="14021471"/>
    <n v="0.78893667838150361"/>
    <n v="0.21106332161849642"/>
    <d v="2025-06-24T00:00:00"/>
    <x v="0"/>
  </r>
  <r>
    <x v="5"/>
    <n v="6"/>
    <x v="1"/>
    <x v="1"/>
    <n v="10422659"/>
    <n v="8777125"/>
    <n v="1645534"/>
    <n v="0.15788044106595064"/>
    <n v="0.84211955893404933"/>
    <d v="2025-06-29T00:00:00"/>
    <x v="0"/>
  </r>
  <r>
    <x v="5"/>
    <n v="6"/>
    <x v="1"/>
    <x v="1"/>
    <n v="8925622"/>
    <n v="7859625"/>
    <n v="1065997"/>
    <n v="0.11943111639726621"/>
    <n v="0.88056888360273378"/>
    <d v="2025-06-07T00:00:00"/>
    <x v="0"/>
  </r>
  <r>
    <x v="5"/>
    <n v="6"/>
    <x v="1"/>
    <x v="1"/>
    <n v="8925622"/>
    <n v="7859625"/>
    <n v="1065997"/>
    <n v="0.11943111639726621"/>
    <n v="0.88056888360273378"/>
    <d v="2024-06-18T00:00:00"/>
    <x v="1"/>
  </r>
  <r>
    <x v="5"/>
    <n v="6"/>
    <x v="1"/>
    <x v="0"/>
    <n v="9869633"/>
    <n v="8708702"/>
    <n v="1160931"/>
    <n v="0.11762656220347809"/>
    <n v="0.88237343779652189"/>
    <d v="2024-06-24T00:00:00"/>
    <x v="1"/>
  </r>
  <r>
    <x v="5"/>
    <n v="6"/>
    <x v="1"/>
    <x v="1"/>
    <n v="17872796"/>
    <n v="4065021"/>
    <n v="13807775"/>
    <n v="0.77255819402851122"/>
    <n v="0.22744180597148875"/>
    <d v="2025-06-10T00:00:00"/>
    <x v="0"/>
  </r>
  <r>
    <x v="5"/>
    <n v="6"/>
    <x v="1"/>
    <x v="1"/>
    <n v="6659621"/>
    <n v="5718412"/>
    <n v="941209"/>
    <n v="0.14133071536653513"/>
    <n v="0.85866928463346492"/>
    <d v="2024-06-05T00:00:00"/>
    <x v="1"/>
  </r>
  <r>
    <x v="5"/>
    <n v="6"/>
    <x v="1"/>
    <x v="0"/>
    <n v="7713630"/>
    <n v="1832250"/>
    <n v="5881380"/>
    <n v="0.7624659207143718"/>
    <n v="0.23753407928562817"/>
    <d v="2024-06-16T00:00:00"/>
    <x v="1"/>
  </r>
  <r>
    <x v="5"/>
    <n v="6"/>
    <x v="1"/>
    <x v="0"/>
    <n v="10887632"/>
    <n v="3314932"/>
    <n v="7572700"/>
    <n v="0.69553232511899743"/>
    <n v="0.30446767488100257"/>
    <d v="2024-06-12T00:00:00"/>
    <x v="1"/>
  </r>
  <r>
    <x v="5"/>
    <n v="6"/>
    <x v="1"/>
    <x v="1"/>
    <n v="10422659"/>
    <n v="8777125"/>
    <n v="1645534"/>
    <n v="0.15788044106595064"/>
    <n v="0.84211955893404933"/>
    <d v="2024-06-15T00:00:00"/>
    <x v="1"/>
  </r>
  <r>
    <x v="5"/>
    <n v="6"/>
    <x v="1"/>
    <x v="0"/>
    <n v="5297234"/>
    <n v="3596622"/>
    <n v="1700612"/>
    <n v="0.32103773403251584"/>
    <n v="0.67896226596748421"/>
    <d v="2025-06-30T00:00:00"/>
    <x v="0"/>
  </r>
  <r>
    <x v="6"/>
    <n v="7"/>
    <x v="2"/>
    <x v="0"/>
    <n v="7409657"/>
    <n v="6271336"/>
    <n v="1138321"/>
    <n v="0.15362667934561614"/>
    <n v="0.84637332065438386"/>
    <d v="2024-07-15T00:00:00"/>
    <x v="1"/>
  </r>
  <r>
    <x v="6"/>
    <n v="7"/>
    <x v="2"/>
    <x v="1"/>
    <n v="6659621"/>
    <n v="5718412"/>
    <n v="941209"/>
    <n v="0.14133071536653513"/>
    <n v="0.85866928463346492"/>
    <d v="2025-07-06T00:00:00"/>
    <x v="0"/>
  </r>
  <r>
    <x v="6"/>
    <n v="7"/>
    <x v="2"/>
    <x v="1"/>
    <n v="12433378"/>
    <n v="3398230"/>
    <n v="9035148"/>
    <n v="0.72668489609179421"/>
    <n v="0.27331510390820579"/>
    <d v="2025-07-16T00:00:00"/>
    <x v="0"/>
  </r>
  <r>
    <x v="6"/>
    <n v="7"/>
    <x v="2"/>
    <x v="0"/>
    <n v="3115955"/>
    <n v="2888010"/>
    <n v="227945"/>
    <n v="7.3154137335102717E-2"/>
    <n v="0.92684586266489732"/>
    <d v="2025-07-28T00:00:00"/>
    <x v="0"/>
  </r>
  <r>
    <x v="6"/>
    <n v="7"/>
    <x v="2"/>
    <x v="1"/>
    <n v="13395142"/>
    <n v="3866714"/>
    <n v="9528428"/>
    <n v="0.71133460175338192"/>
    <n v="0.28866539824661808"/>
    <d v="2025-07-05T00:00:00"/>
    <x v="0"/>
  </r>
  <r>
    <x v="6"/>
    <n v="7"/>
    <x v="2"/>
    <x v="1"/>
    <n v="9166769"/>
    <n v="7049977"/>
    <n v="2116792"/>
    <n v="0.23092018572738116"/>
    <n v="0.76907981427261884"/>
    <d v="2024-07-22T00:00:00"/>
    <x v="1"/>
  </r>
  <r>
    <x v="6"/>
    <n v="7"/>
    <x v="2"/>
    <x v="0"/>
    <n v="5297234"/>
    <n v="3596622"/>
    <n v="1700612"/>
    <n v="0.32103773403251584"/>
    <n v="0.67896226596748421"/>
    <d v="2025-07-12T00:00:00"/>
    <x v="0"/>
  </r>
  <r>
    <x v="6"/>
    <n v="7"/>
    <x v="2"/>
    <x v="1"/>
    <n v="8925622"/>
    <n v="7859625"/>
    <n v="1065997"/>
    <n v="0.11943111639726621"/>
    <n v="0.88056888360273378"/>
    <d v="2025-07-12T00:00:00"/>
    <x v="0"/>
  </r>
  <r>
    <x v="6"/>
    <n v="7"/>
    <x v="2"/>
    <x v="1"/>
    <n v="6659621"/>
    <n v="5718412"/>
    <n v="941209"/>
    <n v="0.14133071536653513"/>
    <n v="0.85866928463346492"/>
    <d v="2025-07-19T00:00:00"/>
    <x v="0"/>
  </r>
  <r>
    <x v="6"/>
    <n v="7"/>
    <x v="2"/>
    <x v="1"/>
    <n v="10655734"/>
    <n v="2408508"/>
    <n v="8247226"/>
    <n v="0.77397070910366195"/>
    <n v="0.22602929089633805"/>
    <d v="2024-07-01T00:00:00"/>
    <x v="1"/>
  </r>
  <r>
    <x v="6"/>
    <n v="7"/>
    <x v="2"/>
    <x v="0"/>
    <n v="10887632"/>
    <n v="3314932"/>
    <n v="7572700"/>
    <n v="0.69553232511899743"/>
    <n v="0.30446767488100257"/>
    <d v="2024-07-09T00:00:00"/>
    <x v="1"/>
  </r>
  <r>
    <x v="6"/>
    <n v="7"/>
    <x v="2"/>
    <x v="0"/>
    <n v="3115955"/>
    <n v="2888010"/>
    <n v="227945"/>
    <n v="7.3154137335102717E-2"/>
    <n v="0.92684586266489732"/>
    <d v="2024-07-01T00:00:00"/>
    <x v="1"/>
  </r>
  <r>
    <x v="6"/>
    <n v="7"/>
    <x v="2"/>
    <x v="1"/>
    <n v="10422659"/>
    <n v="8777125"/>
    <n v="1645534"/>
    <n v="0.15788044106595064"/>
    <n v="0.84211955893404933"/>
    <d v="2024-07-05T00:00:00"/>
    <x v="1"/>
  </r>
  <r>
    <x v="6"/>
    <n v="7"/>
    <x v="2"/>
    <x v="1"/>
    <n v="17872796"/>
    <n v="4065021"/>
    <n v="13807775"/>
    <n v="0.77255819402851122"/>
    <n v="0.22744180597148875"/>
    <d v="2025-07-28T00:00:00"/>
    <x v="0"/>
  </r>
  <r>
    <x v="6"/>
    <n v="7"/>
    <x v="2"/>
    <x v="1"/>
    <n v="13243123"/>
    <n v="5468428"/>
    <n v="7774695"/>
    <n v="0.5870741365159865"/>
    <n v="0.41292586348401356"/>
    <d v="2025-07-21T00:00:00"/>
    <x v="0"/>
  </r>
  <r>
    <x v="6"/>
    <n v="7"/>
    <x v="2"/>
    <x v="1"/>
    <n v="13395811"/>
    <n v="8109917"/>
    <n v="5285894"/>
    <n v="0.39459305599339972"/>
    <n v="0.60540694400660022"/>
    <d v="2025-07-03T00:00:00"/>
    <x v="0"/>
  </r>
  <r>
    <x v="6"/>
    <n v="7"/>
    <x v="2"/>
    <x v="0"/>
    <n v="10887632"/>
    <n v="3314932"/>
    <n v="7572700"/>
    <n v="0.69553232511899743"/>
    <n v="0.30446767488100257"/>
    <d v="2024-07-24T00:00:00"/>
    <x v="1"/>
  </r>
  <r>
    <x v="6"/>
    <n v="7"/>
    <x v="2"/>
    <x v="1"/>
    <n v="17872796"/>
    <n v="4065021"/>
    <n v="13807775"/>
    <n v="0.77255819402851122"/>
    <n v="0.22744180597148875"/>
    <d v="2025-07-24T00:00:00"/>
    <x v="0"/>
  </r>
  <r>
    <x v="6"/>
    <n v="7"/>
    <x v="2"/>
    <x v="0"/>
    <n v="2093322"/>
    <n v="846252"/>
    <n v="1247070"/>
    <n v="0.59573730176246176"/>
    <n v="0.40426269823753824"/>
    <d v="2024-07-22T00:00:00"/>
    <x v="1"/>
  </r>
  <r>
    <x v="6"/>
    <n v="7"/>
    <x v="2"/>
    <x v="0"/>
    <n v="9869633"/>
    <n v="8708702"/>
    <n v="1160931"/>
    <n v="0.11762656220347809"/>
    <n v="0.88237343779652189"/>
    <d v="2025-07-06T00:00:00"/>
    <x v="0"/>
  </r>
  <r>
    <x v="7"/>
    <n v="8"/>
    <x v="2"/>
    <x v="0"/>
    <n v="7684666"/>
    <n v="5053533"/>
    <n v="2631133"/>
    <n v="0.34238742451526194"/>
    <n v="0.65761257548473806"/>
    <d v="2024-08-08T00:00:00"/>
    <x v="1"/>
  </r>
  <r>
    <x v="7"/>
    <n v="8"/>
    <x v="2"/>
    <x v="1"/>
    <n v="9166769"/>
    <n v="7049977"/>
    <n v="2116792"/>
    <n v="0.23092018572738116"/>
    <n v="0.76907981427261884"/>
    <d v="2024-08-07T00:00:00"/>
    <x v="1"/>
  </r>
  <r>
    <x v="7"/>
    <n v="8"/>
    <x v="2"/>
    <x v="1"/>
    <n v="17772619"/>
    <n v="3751148"/>
    <n v="14021471"/>
    <n v="0.78893667838150361"/>
    <n v="0.21106332161849642"/>
    <d v="2025-08-27T00:00:00"/>
    <x v="0"/>
  </r>
  <r>
    <x v="7"/>
    <n v="8"/>
    <x v="2"/>
    <x v="1"/>
    <n v="13243123"/>
    <n v="5468428"/>
    <n v="7774695"/>
    <n v="0.5870741365159865"/>
    <n v="0.41292586348401356"/>
    <d v="2024-08-03T00:00:00"/>
    <x v="1"/>
  </r>
  <r>
    <x v="7"/>
    <n v="8"/>
    <x v="2"/>
    <x v="1"/>
    <n v="13395811"/>
    <n v="8109917"/>
    <n v="5285894"/>
    <n v="0.39459305599339972"/>
    <n v="0.60540694400660022"/>
    <d v="2025-08-01T00:00:00"/>
    <x v="0"/>
  </r>
  <r>
    <x v="7"/>
    <n v="8"/>
    <x v="2"/>
    <x v="1"/>
    <n v="8925622"/>
    <n v="7859625"/>
    <n v="1065997"/>
    <n v="0.11943111639726621"/>
    <n v="0.88056888360273378"/>
    <d v="2025-08-25T00:00:00"/>
    <x v="0"/>
  </r>
  <r>
    <x v="7"/>
    <n v="8"/>
    <x v="2"/>
    <x v="1"/>
    <n v="12433378"/>
    <n v="3398230"/>
    <n v="9035148"/>
    <n v="0.72668489609179421"/>
    <n v="0.27331510390820579"/>
    <d v="2024-08-12T00:00:00"/>
    <x v="1"/>
  </r>
  <r>
    <x v="7"/>
    <n v="8"/>
    <x v="2"/>
    <x v="1"/>
    <n v="13395142"/>
    <n v="3866714"/>
    <n v="9528428"/>
    <n v="0.71133460175338192"/>
    <n v="0.28866539824661808"/>
    <d v="2024-08-12T00:00:00"/>
    <x v="1"/>
  </r>
  <r>
    <x v="7"/>
    <n v="8"/>
    <x v="2"/>
    <x v="1"/>
    <n v="9166769"/>
    <n v="7049977"/>
    <n v="2116792"/>
    <n v="0.23092018572738116"/>
    <n v="0.76907981427261884"/>
    <d v="2025-08-26T00:00:00"/>
    <x v="0"/>
  </r>
  <r>
    <x v="7"/>
    <n v="8"/>
    <x v="2"/>
    <x v="0"/>
    <n v="6629660"/>
    <n v="3523400"/>
    <n v="3106260"/>
    <n v="0.4685398647894462"/>
    <n v="0.5314601352105538"/>
    <d v="2024-08-22T00:00:00"/>
    <x v="1"/>
  </r>
  <r>
    <x v="7"/>
    <n v="8"/>
    <x v="2"/>
    <x v="1"/>
    <n v="13395142"/>
    <n v="3866714"/>
    <n v="9528428"/>
    <n v="0.71133460175338192"/>
    <n v="0.28866539824661808"/>
    <d v="2024-08-31T00:00:00"/>
    <x v="1"/>
  </r>
  <r>
    <x v="7"/>
    <n v="8"/>
    <x v="2"/>
    <x v="0"/>
    <n v="10887632"/>
    <n v="3314932"/>
    <n v="7572700"/>
    <n v="0.69553232511899743"/>
    <n v="0.30446767488100257"/>
    <d v="2024-08-21T00:00:00"/>
    <x v="1"/>
  </r>
  <r>
    <x v="7"/>
    <n v="8"/>
    <x v="2"/>
    <x v="1"/>
    <n v="13243123"/>
    <n v="5468428"/>
    <n v="7774695"/>
    <n v="0.5870741365159865"/>
    <n v="0.41292586348401356"/>
    <d v="2025-08-03T00:00:00"/>
    <x v="0"/>
  </r>
  <r>
    <x v="7"/>
    <n v="8"/>
    <x v="2"/>
    <x v="1"/>
    <n v="9166769"/>
    <n v="7049977"/>
    <n v="2116792"/>
    <n v="0.23092018572738116"/>
    <n v="0.76907981427261884"/>
    <d v="2024-08-16T00:00:00"/>
    <x v="1"/>
  </r>
  <r>
    <x v="7"/>
    <n v="8"/>
    <x v="2"/>
    <x v="1"/>
    <n v="9166769"/>
    <n v="7049977"/>
    <n v="2116792"/>
    <n v="0.23092018572738116"/>
    <n v="0.76907981427261884"/>
    <d v="2024-08-18T00:00:00"/>
    <x v="1"/>
  </r>
  <r>
    <x v="7"/>
    <n v="8"/>
    <x v="2"/>
    <x v="1"/>
    <n v="17772619"/>
    <n v="3751148"/>
    <n v="14021471"/>
    <n v="0.78893667838150361"/>
    <n v="0.21106332161849642"/>
    <d v="2024-08-23T00:00:00"/>
    <x v="1"/>
  </r>
  <r>
    <x v="7"/>
    <n v="8"/>
    <x v="2"/>
    <x v="1"/>
    <n v="17772619"/>
    <n v="3751148"/>
    <n v="14021471"/>
    <n v="0.78893667838150361"/>
    <n v="0.21106332161849642"/>
    <d v="2025-08-14T00:00:00"/>
    <x v="0"/>
  </r>
  <r>
    <x v="7"/>
    <n v="8"/>
    <x v="2"/>
    <x v="1"/>
    <n v="9166769"/>
    <n v="7049977"/>
    <n v="2116792"/>
    <n v="0.23092018572738116"/>
    <n v="0.76907981427261884"/>
    <d v="2025-08-20T00:00:00"/>
    <x v="0"/>
  </r>
  <r>
    <x v="7"/>
    <n v="8"/>
    <x v="2"/>
    <x v="1"/>
    <n v="10422659"/>
    <n v="8777125"/>
    <n v="1645534"/>
    <n v="0.15788044106595064"/>
    <n v="0.84211955893404933"/>
    <d v="2024-08-13T00:00:00"/>
    <x v="1"/>
  </r>
  <r>
    <x v="7"/>
    <n v="8"/>
    <x v="2"/>
    <x v="0"/>
    <n v="6629660"/>
    <n v="3523400"/>
    <n v="3106260"/>
    <n v="0.4685398647894462"/>
    <n v="0.5314601352105538"/>
    <d v="2025-08-03T00:00:00"/>
    <x v="0"/>
  </r>
  <r>
    <x v="7"/>
    <n v="8"/>
    <x v="2"/>
    <x v="0"/>
    <n v="7409657"/>
    <n v="6271336"/>
    <n v="1138321"/>
    <n v="0.15362667934561614"/>
    <n v="0.84637332065438386"/>
    <d v="2025-08-03T00:00:00"/>
    <x v="0"/>
  </r>
  <r>
    <x v="7"/>
    <n v="8"/>
    <x v="2"/>
    <x v="0"/>
    <n v="6641746"/>
    <n v="2466037"/>
    <n v="4175709"/>
    <n v="0.62870651783431641"/>
    <n v="0.37129348216568353"/>
    <d v="2024-08-26T00:00:00"/>
    <x v="1"/>
  </r>
  <r>
    <x v="7"/>
    <n v="8"/>
    <x v="2"/>
    <x v="0"/>
    <n v="5297234"/>
    <n v="3596622"/>
    <n v="1700612"/>
    <n v="0.32103773403251584"/>
    <n v="0.67896226596748421"/>
    <d v="2024-08-11T00:00:00"/>
    <x v="1"/>
  </r>
  <r>
    <x v="7"/>
    <n v="8"/>
    <x v="2"/>
    <x v="1"/>
    <n v="12433378"/>
    <n v="3398230"/>
    <n v="9035148"/>
    <n v="0.72668489609179421"/>
    <n v="0.27331510390820579"/>
    <d v="2025-08-07T00:00:00"/>
    <x v="0"/>
  </r>
  <r>
    <x v="7"/>
    <n v="8"/>
    <x v="2"/>
    <x v="0"/>
    <n v="10887632"/>
    <n v="3314932"/>
    <n v="7572700"/>
    <n v="0.69553232511899743"/>
    <n v="0.30446767488100257"/>
    <d v="2025-08-10T00:00:00"/>
    <x v="0"/>
  </r>
  <r>
    <x v="7"/>
    <n v="8"/>
    <x v="2"/>
    <x v="0"/>
    <n v="10887632"/>
    <n v="3314932"/>
    <n v="7572700"/>
    <n v="0.69553232511899743"/>
    <n v="0.30446767488100257"/>
    <d v="2024-08-26T00:00:00"/>
    <x v="1"/>
  </r>
  <r>
    <x v="7"/>
    <n v="8"/>
    <x v="2"/>
    <x v="0"/>
    <n v="7409657"/>
    <n v="6271336"/>
    <n v="1138321"/>
    <n v="0.15362667934561614"/>
    <n v="0.84637332065438386"/>
    <d v="2025-08-25T00:00:00"/>
    <x v="0"/>
  </r>
  <r>
    <x v="7"/>
    <n v="8"/>
    <x v="2"/>
    <x v="1"/>
    <n v="10422659"/>
    <n v="8777125"/>
    <n v="1645534"/>
    <n v="0.15788044106595064"/>
    <n v="0.84211955893404933"/>
    <d v="2025-08-21T00:00:00"/>
    <x v="0"/>
  </r>
  <r>
    <x v="7"/>
    <n v="8"/>
    <x v="2"/>
    <x v="1"/>
    <n v="9166769"/>
    <n v="7049977"/>
    <n v="2116792"/>
    <n v="0.23092018572738116"/>
    <n v="0.76907981427261884"/>
    <d v="2024-08-22T00:00:00"/>
    <x v="1"/>
  </r>
  <r>
    <x v="7"/>
    <n v="8"/>
    <x v="2"/>
    <x v="0"/>
    <n v="6629660"/>
    <n v="3523400"/>
    <n v="3106260"/>
    <n v="0.4685398647894462"/>
    <n v="0.5314601352105538"/>
    <d v="2025-08-09T00:00:00"/>
    <x v="0"/>
  </r>
  <r>
    <x v="7"/>
    <n v="8"/>
    <x v="2"/>
    <x v="0"/>
    <n v="9814492"/>
    <n v="5074629"/>
    <n v="4739863"/>
    <n v="0.48294532208085755"/>
    <n v="0.51705467791914239"/>
    <d v="2024-08-06T00:00:00"/>
    <x v="1"/>
  </r>
  <r>
    <x v="7"/>
    <n v="8"/>
    <x v="2"/>
    <x v="0"/>
    <n v="9814492"/>
    <n v="5074629"/>
    <n v="4739863"/>
    <n v="0.48294532208085755"/>
    <n v="0.51705467791914239"/>
    <d v="2024-08-13T00:00:00"/>
    <x v="1"/>
  </r>
  <r>
    <x v="7"/>
    <n v="8"/>
    <x v="2"/>
    <x v="1"/>
    <n v="8925622"/>
    <n v="7859625"/>
    <n v="1065997"/>
    <n v="0.11943111639726621"/>
    <n v="0.88056888360273378"/>
    <d v="2025-08-13T00:00:00"/>
    <x v="0"/>
  </r>
  <r>
    <x v="8"/>
    <n v="9"/>
    <x v="2"/>
    <x v="0"/>
    <n v="9814492"/>
    <n v="5074629"/>
    <n v="4739863"/>
    <n v="0.48294532208085755"/>
    <n v="0.51705467791914239"/>
    <d v="2025-09-15T00:00:00"/>
    <x v="0"/>
  </r>
  <r>
    <x v="8"/>
    <n v="9"/>
    <x v="2"/>
    <x v="0"/>
    <n v="9814492"/>
    <n v="5074629"/>
    <n v="4739863"/>
    <n v="0.48294532208085755"/>
    <n v="0.51705467791914239"/>
    <d v="2025-09-03T00:00:00"/>
    <x v="0"/>
  </r>
  <r>
    <x v="8"/>
    <n v="9"/>
    <x v="2"/>
    <x v="0"/>
    <n v="10932582"/>
    <n v="9516586"/>
    <n v="1415996"/>
    <n v="0.12952072986966848"/>
    <n v="0.87047927013033155"/>
    <d v="2024-09-27T00:00:00"/>
    <x v="1"/>
  </r>
  <r>
    <x v="8"/>
    <n v="9"/>
    <x v="2"/>
    <x v="0"/>
    <n v="6629660"/>
    <n v="3523400"/>
    <n v="3106260"/>
    <n v="0.4685398647894462"/>
    <n v="0.5314601352105538"/>
    <d v="2024-09-26T00:00:00"/>
    <x v="1"/>
  </r>
  <r>
    <x v="8"/>
    <n v="9"/>
    <x v="2"/>
    <x v="0"/>
    <n v="3115955"/>
    <n v="2888010"/>
    <n v="227945"/>
    <n v="7.3154137335102717E-2"/>
    <n v="0.92684586266489732"/>
    <d v="2024-09-03T00:00:00"/>
    <x v="1"/>
  </r>
  <r>
    <x v="8"/>
    <n v="9"/>
    <x v="2"/>
    <x v="0"/>
    <n v="10932582"/>
    <n v="9516586"/>
    <n v="1415996"/>
    <n v="0.12952072986966848"/>
    <n v="0.87047927013033155"/>
    <d v="2024-09-09T00:00:00"/>
    <x v="1"/>
  </r>
  <r>
    <x v="8"/>
    <n v="9"/>
    <x v="2"/>
    <x v="0"/>
    <n v="10887632"/>
    <n v="3314932"/>
    <n v="7572700"/>
    <n v="0.69553232511899743"/>
    <n v="0.30446767488100257"/>
    <d v="2025-09-02T00:00:00"/>
    <x v="0"/>
  </r>
  <r>
    <x v="8"/>
    <n v="9"/>
    <x v="2"/>
    <x v="1"/>
    <n v="13243123"/>
    <n v="5468428"/>
    <n v="7774695"/>
    <n v="0.5870741365159865"/>
    <n v="0.41292586348401356"/>
    <d v="2024-09-30T00:00:00"/>
    <x v="1"/>
  </r>
  <r>
    <x v="8"/>
    <n v="9"/>
    <x v="2"/>
    <x v="0"/>
    <n v="2093322"/>
    <n v="846252"/>
    <n v="1247070"/>
    <n v="0.59573730176246176"/>
    <n v="0.40426269823753824"/>
    <d v="2025-09-10T00:00:00"/>
    <x v="0"/>
  </r>
  <r>
    <x v="8"/>
    <n v="9"/>
    <x v="2"/>
    <x v="0"/>
    <n v="7409657"/>
    <n v="6271336"/>
    <n v="1138321"/>
    <n v="0.15362667934561614"/>
    <n v="0.84637332065438386"/>
    <d v="2025-09-13T00:00:00"/>
    <x v="0"/>
  </r>
  <r>
    <x v="8"/>
    <n v="9"/>
    <x v="2"/>
    <x v="1"/>
    <n v="17872796"/>
    <n v="4065021"/>
    <n v="13807775"/>
    <n v="0.77255819402851122"/>
    <n v="0.22744180597148875"/>
    <d v="2025-09-04T00:00:00"/>
    <x v="0"/>
  </r>
  <r>
    <x v="8"/>
    <n v="9"/>
    <x v="2"/>
    <x v="0"/>
    <n v="7409657"/>
    <n v="6271336"/>
    <n v="1138321"/>
    <n v="0.15362667934561614"/>
    <n v="0.84637332065438386"/>
    <d v="2025-09-05T00:00:00"/>
    <x v="0"/>
  </r>
  <r>
    <x v="8"/>
    <n v="9"/>
    <x v="2"/>
    <x v="1"/>
    <n v="13243123"/>
    <n v="5468428"/>
    <n v="7774695"/>
    <n v="0.5870741365159865"/>
    <n v="0.41292586348401356"/>
    <d v="2024-09-28T00:00:00"/>
    <x v="1"/>
  </r>
  <r>
    <x v="8"/>
    <n v="9"/>
    <x v="2"/>
    <x v="1"/>
    <n v="13395811"/>
    <n v="8109917"/>
    <n v="5285894"/>
    <n v="0.39459305599339972"/>
    <n v="0.60540694400660022"/>
    <d v="2024-09-26T00:00:00"/>
    <x v="1"/>
  </r>
  <r>
    <x v="8"/>
    <n v="9"/>
    <x v="2"/>
    <x v="1"/>
    <n v="8925622"/>
    <n v="7859625"/>
    <n v="1065997"/>
    <n v="0.11943111639726621"/>
    <n v="0.88056888360273378"/>
    <d v="2025-09-25T00:00:00"/>
    <x v="0"/>
  </r>
  <r>
    <x v="8"/>
    <n v="9"/>
    <x v="2"/>
    <x v="1"/>
    <n v="10422659"/>
    <n v="8777125"/>
    <n v="1645534"/>
    <n v="0.15788044106595064"/>
    <n v="0.84211955893404933"/>
    <d v="2024-09-14T00:00:00"/>
    <x v="1"/>
  </r>
  <r>
    <x v="8"/>
    <n v="9"/>
    <x v="2"/>
    <x v="1"/>
    <n v="12433378"/>
    <n v="3398230"/>
    <n v="9035148"/>
    <n v="0.72668489609179421"/>
    <n v="0.27331510390820579"/>
    <d v="2024-09-30T00:00:00"/>
    <x v="1"/>
  </r>
  <r>
    <x v="8"/>
    <n v="9"/>
    <x v="2"/>
    <x v="0"/>
    <n v="3115955"/>
    <n v="2888010"/>
    <n v="227945"/>
    <n v="7.3154137335102717E-2"/>
    <n v="0.92684586266489732"/>
    <d v="2024-09-28T00:00:00"/>
    <x v="1"/>
  </r>
  <r>
    <x v="8"/>
    <n v="9"/>
    <x v="2"/>
    <x v="1"/>
    <n v="17872796"/>
    <n v="4065021"/>
    <n v="13807775"/>
    <n v="0.77255819402851122"/>
    <n v="0.22744180597148875"/>
    <d v="2025-09-02T00:00:00"/>
    <x v="0"/>
  </r>
  <r>
    <x v="8"/>
    <n v="9"/>
    <x v="2"/>
    <x v="1"/>
    <n v="9406634"/>
    <n v="1310092"/>
    <n v="8096542"/>
    <n v="0.8607268019570018"/>
    <n v="0.13927319804299818"/>
    <d v="2024-09-10T00:00:00"/>
    <x v="1"/>
  </r>
  <r>
    <x v="8"/>
    <n v="9"/>
    <x v="2"/>
    <x v="1"/>
    <n v="9406634"/>
    <n v="1310092"/>
    <n v="8096542"/>
    <n v="0.8607268019570018"/>
    <n v="0.13927319804299818"/>
    <d v="2025-09-15T00:00:00"/>
    <x v="0"/>
  </r>
  <r>
    <x v="9"/>
    <n v="10"/>
    <x v="3"/>
    <x v="1"/>
    <n v="10655734"/>
    <n v="2408508"/>
    <n v="8247226"/>
    <n v="0.77397070910366195"/>
    <n v="0.22602929089633805"/>
    <d v="2024-10-27T00:00:00"/>
    <x v="1"/>
  </r>
  <r>
    <x v="9"/>
    <n v="10"/>
    <x v="3"/>
    <x v="0"/>
    <n v="5297234"/>
    <n v="3596622"/>
    <n v="1700612"/>
    <n v="0.32103773403251584"/>
    <n v="0.67896226596748421"/>
    <d v="2025-10-04T00:00:00"/>
    <x v="0"/>
  </r>
  <r>
    <x v="9"/>
    <n v="10"/>
    <x v="3"/>
    <x v="1"/>
    <n v="17772619"/>
    <n v="3751148"/>
    <n v="14021471"/>
    <n v="0.78893667838150361"/>
    <n v="0.21106332161849642"/>
    <d v="2025-10-18T00:00:00"/>
    <x v="0"/>
  </r>
  <r>
    <x v="9"/>
    <n v="10"/>
    <x v="3"/>
    <x v="0"/>
    <n v="7713630"/>
    <n v="1832250"/>
    <n v="5881380"/>
    <n v="0.7624659207143718"/>
    <n v="0.23753407928562817"/>
    <d v="2024-10-11T00:00:00"/>
    <x v="1"/>
  </r>
  <r>
    <x v="9"/>
    <n v="10"/>
    <x v="3"/>
    <x v="1"/>
    <n v="13395811"/>
    <n v="8109917"/>
    <n v="5285894"/>
    <n v="0.39459305599339972"/>
    <n v="0.60540694400660022"/>
    <d v="2025-10-16T00:00:00"/>
    <x v="0"/>
  </r>
  <r>
    <x v="9"/>
    <n v="10"/>
    <x v="3"/>
    <x v="0"/>
    <n v="10932582"/>
    <n v="9516586"/>
    <n v="1415996"/>
    <n v="0.12952072986966848"/>
    <n v="0.87047927013033155"/>
    <d v="2025-10-27T00:00:00"/>
    <x v="0"/>
  </r>
  <r>
    <x v="9"/>
    <n v="10"/>
    <x v="3"/>
    <x v="1"/>
    <n v="17872796"/>
    <n v="4065021"/>
    <n v="13807775"/>
    <n v="0.77255819402851122"/>
    <n v="0.22744180597148875"/>
    <d v="2025-10-16T00:00:00"/>
    <x v="0"/>
  </r>
  <r>
    <x v="9"/>
    <n v="10"/>
    <x v="3"/>
    <x v="1"/>
    <n v="8925622"/>
    <n v="7859625"/>
    <n v="1065997"/>
    <n v="0.11943111639726621"/>
    <n v="0.88056888360273378"/>
    <d v="2024-10-01T00:00:00"/>
    <x v="1"/>
  </r>
  <r>
    <x v="9"/>
    <n v="10"/>
    <x v="3"/>
    <x v="0"/>
    <n v="2093322"/>
    <n v="846252"/>
    <n v="1247070"/>
    <n v="0.59573730176246176"/>
    <n v="0.40426269823753824"/>
    <d v="2025-10-27T00:00:00"/>
    <x v="0"/>
  </r>
  <r>
    <x v="9"/>
    <n v="10"/>
    <x v="3"/>
    <x v="0"/>
    <n v="7684666"/>
    <n v="5053533"/>
    <n v="2631133"/>
    <n v="0.34238742451526194"/>
    <n v="0.65761257548473806"/>
    <d v="2024-10-27T00:00:00"/>
    <x v="1"/>
  </r>
  <r>
    <x v="9"/>
    <n v="10"/>
    <x v="3"/>
    <x v="0"/>
    <n v="7409657"/>
    <n v="6271336"/>
    <n v="1138321"/>
    <n v="0.15362667934561614"/>
    <n v="0.84637332065438386"/>
    <d v="2024-10-11T00:00:00"/>
    <x v="1"/>
  </r>
  <r>
    <x v="9"/>
    <n v="10"/>
    <x v="3"/>
    <x v="1"/>
    <n v="13395142"/>
    <n v="3866714"/>
    <n v="9528428"/>
    <n v="0.71133460175338192"/>
    <n v="0.28866539824661808"/>
    <d v="2025-10-12T00:00:00"/>
    <x v="0"/>
  </r>
  <r>
    <x v="9"/>
    <n v="10"/>
    <x v="3"/>
    <x v="0"/>
    <n v="10932582"/>
    <n v="9516586"/>
    <n v="1415996"/>
    <n v="0.12952072986966848"/>
    <n v="0.87047927013033155"/>
    <d v="2024-10-11T00:00:00"/>
    <x v="1"/>
  </r>
  <r>
    <x v="9"/>
    <n v="10"/>
    <x v="3"/>
    <x v="0"/>
    <n v="2093322"/>
    <n v="846252"/>
    <n v="1247070"/>
    <n v="0.59573730176246176"/>
    <n v="0.40426269823753824"/>
    <d v="2025-10-17T00:00:00"/>
    <x v="0"/>
  </r>
  <r>
    <x v="9"/>
    <n v="10"/>
    <x v="3"/>
    <x v="0"/>
    <n v="6641746"/>
    <n v="2466037"/>
    <n v="4175709"/>
    <n v="0.62870651783431641"/>
    <n v="0.37129348216568353"/>
    <d v="2024-10-03T00:00:00"/>
    <x v="1"/>
  </r>
  <r>
    <x v="9"/>
    <n v="10"/>
    <x v="3"/>
    <x v="0"/>
    <n v="7713630"/>
    <n v="1832250"/>
    <n v="5881380"/>
    <n v="0.7624659207143718"/>
    <n v="0.23753407928562817"/>
    <d v="2025-10-20T00:00:00"/>
    <x v="0"/>
  </r>
  <r>
    <x v="9"/>
    <n v="10"/>
    <x v="3"/>
    <x v="1"/>
    <n v="10422659"/>
    <n v="8777125"/>
    <n v="1645534"/>
    <n v="0.15788044106595064"/>
    <n v="0.84211955893404933"/>
    <d v="2024-10-08T00:00:00"/>
    <x v="1"/>
  </r>
  <r>
    <x v="9"/>
    <n v="10"/>
    <x v="3"/>
    <x v="0"/>
    <n v="7713630"/>
    <n v="1832250"/>
    <n v="5881380"/>
    <n v="0.7624659207143718"/>
    <n v="0.23753407928562817"/>
    <d v="2024-10-23T00:00:00"/>
    <x v="1"/>
  </r>
  <r>
    <x v="9"/>
    <n v="10"/>
    <x v="3"/>
    <x v="1"/>
    <n v="17772619"/>
    <n v="3751148"/>
    <n v="14021471"/>
    <n v="0.78893667838150361"/>
    <n v="0.21106332161849642"/>
    <d v="2025-10-25T00:00:00"/>
    <x v="0"/>
  </r>
  <r>
    <x v="10"/>
    <n v="11"/>
    <x v="3"/>
    <x v="0"/>
    <n v="7713630"/>
    <n v="1832250"/>
    <n v="5881380"/>
    <n v="0.7624659207143718"/>
    <n v="0.23753407928562817"/>
    <d v="2025-11-27T00:00:00"/>
    <x v="0"/>
  </r>
  <r>
    <x v="10"/>
    <n v="11"/>
    <x v="3"/>
    <x v="1"/>
    <n v="6659621"/>
    <n v="5718412"/>
    <n v="941209"/>
    <n v="0.14133071536653513"/>
    <n v="0.85866928463346492"/>
    <d v="2025-11-06T00:00:00"/>
    <x v="0"/>
  </r>
  <r>
    <x v="10"/>
    <n v="11"/>
    <x v="3"/>
    <x v="1"/>
    <n v="6659621"/>
    <n v="5718412"/>
    <n v="941209"/>
    <n v="0.14133071536653513"/>
    <n v="0.85866928463346492"/>
    <d v="2025-11-27T00:00:00"/>
    <x v="0"/>
  </r>
  <r>
    <x v="10"/>
    <n v="11"/>
    <x v="3"/>
    <x v="0"/>
    <n v="6629660"/>
    <n v="3523400"/>
    <n v="3106260"/>
    <n v="0.4685398647894462"/>
    <n v="0.5314601352105538"/>
    <d v="2024-11-15T00:00:00"/>
    <x v="1"/>
  </r>
  <r>
    <x v="10"/>
    <n v="11"/>
    <x v="3"/>
    <x v="0"/>
    <n v="9814492"/>
    <n v="5074629"/>
    <n v="4739863"/>
    <n v="0.48294532208085755"/>
    <n v="0.51705467791914239"/>
    <d v="2024-11-18T00:00:00"/>
    <x v="1"/>
  </r>
  <r>
    <x v="10"/>
    <n v="11"/>
    <x v="3"/>
    <x v="0"/>
    <n v="5297234"/>
    <n v="3596622"/>
    <n v="1700612"/>
    <n v="0.32103773403251584"/>
    <n v="0.67896226596748421"/>
    <d v="2025-11-08T00:00:00"/>
    <x v="0"/>
  </r>
  <r>
    <x v="10"/>
    <n v="11"/>
    <x v="3"/>
    <x v="1"/>
    <n v="10655734"/>
    <n v="2408508"/>
    <n v="8247226"/>
    <n v="0.77397070910366195"/>
    <n v="0.22602929089633805"/>
    <d v="2025-11-17T00:00:00"/>
    <x v="0"/>
  </r>
  <r>
    <x v="10"/>
    <n v="11"/>
    <x v="3"/>
    <x v="1"/>
    <n v="6659621"/>
    <n v="5718412"/>
    <n v="941209"/>
    <n v="0.14133071536653513"/>
    <n v="0.85866928463346492"/>
    <d v="2024-11-10T00:00:00"/>
    <x v="1"/>
  </r>
  <r>
    <x v="10"/>
    <n v="11"/>
    <x v="3"/>
    <x v="1"/>
    <n v="12433378"/>
    <n v="3398230"/>
    <n v="9035148"/>
    <n v="0.72668489609179421"/>
    <n v="0.27331510390820579"/>
    <d v="2025-11-23T00:00:00"/>
    <x v="0"/>
  </r>
  <r>
    <x v="10"/>
    <n v="11"/>
    <x v="3"/>
    <x v="0"/>
    <n v="3115955"/>
    <n v="2888010"/>
    <n v="227945"/>
    <n v="7.3154137335102717E-2"/>
    <n v="0.92684586266489732"/>
    <d v="2025-11-18T00:00:00"/>
    <x v="0"/>
  </r>
  <r>
    <x v="10"/>
    <n v="11"/>
    <x v="3"/>
    <x v="1"/>
    <n v="10422659"/>
    <n v="8777125"/>
    <n v="1645534"/>
    <n v="0.15788044106595064"/>
    <n v="0.84211955893404933"/>
    <d v="2025-11-16T00:00:00"/>
    <x v="0"/>
  </r>
  <r>
    <x v="10"/>
    <n v="11"/>
    <x v="3"/>
    <x v="1"/>
    <n v="13243123"/>
    <n v="5468428"/>
    <n v="7774695"/>
    <n v="0.5870741365159865"/>
    <n v="0.41292586348401356"/>
    <d v="2025-11-30T00:00:00"/>
    <x v="0"/>
  </r>
  <r>
    <x v="10"/>
    <n v="11"/>
    <x v="3"/>
    <x v="1"/>
    <n v="10422659"/>
    <n v="8777125"/>
    <n v="1645534"/>
    <n v="0.15788044106595064"/>
    <n v="0.84211955893404933"/>
    <d v="2024-11-28T00:00:00"/>
    <x v="1"/>
  </r>
  <r>
    <x v="10"/>
    <n v="11"/>
    <x v="3"/>
    <x v="0"/>
    <n v="9814492"/>
    <n v="5074629"/>
    <n v="4739863"/>
    <n v="0.48294532208085755"/>
    <n v="0.51705467791914239"/>
    <d v="2024-11-27T00:00:00"/>
    <x v="1"/>
  </r>
  <r>
    <x v="10"/>
    <n v="11"/>
    <x v="3"/>
    <x v="1"/>
    <n v="12433378"/>
    <n v="3398230"/>
    <n v="9035148"/>
    <n v="0.72668489609179421"/>
    <n v="0.27331510390820579"/>
    <d v="2025-11-29T00:00:00"/>
    <x v="0"/>
  </r>
  <r>
    <x v="10"/>
    <n v="11"/>
    <x v="3"/>
    <x v="1"/>
    <n v="10655734"/>
    <n v="2408508"/>
    <n v="8247226"/>
    <n v="0.77397070910366195"/>
    <n v="0.22602929089633805"/>
    <d v="2024-11-19T00:00:00"/>
    <x v="1"/>
  </r>
  <r>
    <x v="11"/>
    <n v="12"/>
    <x v="3"/>
    <x v="1"/>
    <n v="8925622"/>
    <n v="7859625"/>
    <n v="1065997"/>
    <n v="0.11943111639726621"/>
    <n v="0.88056888360273378"/>
    <d v="2025-12-19T00:00:00"/>
    <x v="0"/>
  </r>
  <r>
    <x v="11"/>
    <n v="12"/>
    <x v="3"/>
    <x v="0"/>
    <n v="5297234"/>
    <n v="3596622"/>
    <n v="1700612"/>
    <n v="0.32103773403251584"/>
    <n v="0.67896226596748421"/>
    <d v="2025-12-25T00:00:00"/>
    <x v="0"/>
  </r>
  <r>
    <x v="11"/>
    <n v="12"/>
    <x v="3"/>
    <x v="1"/>
    <n v="9166769"/>
    <n v="7049977"/>
    <n v="2116792"/>
    <n v="0.23092018572738116"/>
    <n v="0.76907981427261884"/>
    <d v="2024-12-29T00:00:00"/>
    <x v="1"/>
  </r>
  <r>
    <x v="11"/>
    <n v="12"/>
    <x v="3"/>
    <x v="1"/>
    <n v="9406634"/>
    <n v="1310092"/>
    <n v="8096542"/>
    <n v="0.8607268019570018"/>
    <n v="0.13927319804299818"/>
    <d v="2025-12-05T00:00:00"/>
    <x v="0"/>
  </r>
  <r>
    <x v="11"/>
    <n v="12"/>
    <x v="3"/>
    <x v="1"/>
    <n v="10655734"/>
    <n v="2408508"/>
    <n v="8247226"/>
    <n v="0.77397070910366195"/>
    <n v="0.22602929089633805"/>
    <d v="2024-12-12T00:00:00"/>
    <x v="1"/>
  </r>
  <r>
    <x v="11"/>
    <n v="12"/>
    <x v="3"/>
    <x v="1"/>
    <n v="17772619"/>
    <n v="3751148"/>
    <n v="14021471"/>
    <n v="0.78893667838150361"/>
    <n v="0.21106332161849642"/>
    <d v="2024-12-14T00:00:00"/>
    <x v="1"/>
  </r>
  <r>
    <x v="11"/>
    <n v="12"/>
    <x v="3"/>
    <x v="1"/>
    <n v="13395811"/>
    <n v="8109917"/>
    <n v="5285894"/>
    <n v="0.39459305599339972"/>
    <n v="0.60540694400660022"/>
    <d v="2025-12-02T00:00:00"/>
    <x v="0"/>
  </r>
  <r>
    <x v="11"/>
    <n v="12"/>
    <x v="3"/>
    <x v="0"/>
    <n v="10932582"/>
    <n v="9516586"/>
    <n v="1415996"/>
    <n v="0.12952072986966848"/>
    <n v="0.87047927013033155"/>
    <d v="2025-12-05T00:00:00"/>
    <x v="0"/>
  </r>
  <r>
    <x v="11"/>
    <n v="12"/>
    <x v="3"/>
    <x v="1"/>
    <n v="13395811"/>
    <n v="8109917"/>
    <n v="5285894"/>
    <n v="0.39459305599339972"/>
    <n v="0.60540694400660022"/>
    <d v="2024-12-10T00:00:00"/>
    <x v="1"/>
  </r>
  <r>
    <x v="11"/>
    <n v="12"/>
    <x v="3"/>
    <x v="0"/>
    <n v="3115955"/>
    <n v="2888010"/>
    <n v="227945"/>
    <n v="7.3154137335102717E-2"/>
    <n v="0.92684586266489732"/>
    <d v="2024-12-18T00:00:00"/>
    <x v="1"/>
  </r>
  <r>
    <x v="11"/>
    <n v="12"/>
    <x v="3"/>
    <x v="1"/>
    <n v="13395142"/>
    <n v="3866714"/>
    <n v="9528428"/>
    <n v="0.71133460175338192"/>
    <n v="0.28866539824661808"/>
    <d v="2025-12-05T00:00:00"/>
    <x v="0"/>
  </r>
  <r>
    <x v="11"/>
    <n v="12"/>
    <x v="3"/>
    <x v="0"/>
    <n v="2093322"/>
    <n v="846252"/>
    <n v="1247070"/>
    <n v="0.59573730176246176"/>
    <n v="0.40426269823753824"/>
    <d v="2024-12-04T00:00:00"/>
    <x v="1"/>
  </r>
  <r>
    <x v="11"/>
    <n v="12"/>
    <x v="3"/>
    <x v="1"/>
    <n v="13395142"/>
    <n v="3866714"/>
    <n v="9528428"/>
    <n v="0.71133460175338192"/>
    <n v="0.28866539824661808"/>
    <d v="2025-12-07T00:00:00"/>
    <x v="0"/>
  </r>
  <r>
    <x v="11"/>
    <n v="12"/>
    <x v="3"/>
    <x v="1"/>
    <n v="8925622"/>
    <n v="7859625"/>
    <n v="1065997"/>
    <n v="0.11943111639726621"/>
    <n v="0.88056888360273378"/>
    <d v="2025-12-15T00:00:00"/>
    <x v="0"/>
  </r>
  <r>
    <x v="11"/>
    <n v="12"/>
    <x v="3"/>
    <x v="1"/>
    <n v="17872796"/>
    <n v="4065021"/>
    <n v="13807775"/>
    <n v="0.77255819402851122"/>
    <n v="0.22744180597148875"/>
    <d v="2025-12-19T00:00:00"/>
    <x v="0"/>
  </r>
  <r>
    <x v="11"/>
    <n v="12"/>
    <x v="3"/>
    <x v="0"/>
    <n v="9869633"/>
    <n v="8708702"/>
    <n v="1160931"/>
    <n v="0.11762656220347809"/>
    <n v="0.88237343779652189"/>
    <d v="2024-12-10T00:00:00"/>
    <x v="1"/>
  </r>
  <r>
    <x v="11"/>
    <n v="12"/>
    <x v="3"/>
    <x v="0"/>
    <n v="7684666"/>
    <n v="5053533"/>
    <n v="2631133"/>
    <n v="0.34238742451526194"/>
    <n v="0.65761257548473806"/>
    <d v="2025-12-10T00:00:00"/>
    <x v="0"/>
  </r>
  <r>
    <x v="11"/>
    <n v="12"/>
    <x v="3"/>
    <x v="0"/>
    <n v="7713630"/>
    <n v="1832250"/>
    <n v="5881380"/>
    <n v="0.7624659207143718"/>
    <n v="0.23753407928562817"/>
    <d v="2025-12-31T00:00:00"/>
    <x v="0"/>
  </r>
  <r>
    <x v="11"/>
    <n v="12"/>
    <x v="3"/>
    <x v="0"/>
    <n v="9814492"/>
    <n v="5074629"/>
    <n v="4739863"/>
    <n v="0.48294532208085755"/>
    <n v="0.51705467791914239"/>
    <d v="2025-12-22T00:00:0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
  <r>
    <s v="January"/>
    <n v="1"/>
    <x v="0"/>
    <x v="0"/>
    <n v="2093322"/>
    <n v="846252"/>
    <n v="1247070"/>
    <x v="0"/>
    <n v="0.40426269823753824"/>
    <d v="2025-01-24T00:00:00"/>
    <x v="0"/>
  </r>
  <r>
    <s v="January"/>
    <n v="1"/>
    <x v="0"/>
    <x v="0"/>
    <n v="7713630"/>
    <n v="1832250"/>
    <n v="5881380"/>
    <x v="1"/>
    <n v="0.23753407928562817"/>
    <d v="2025-01-06T00:00:00"/>
    <x v="0"/>
  </r>
  <r>
    <s v="January"/>
    <n v="1"/>
    <x v="0"/>
    <x v="0"/>
    <n v="9869633"/>
    <n v="8708702"/>
    <n v="1160931"/>
    <x v="2"/>
    <n v="0.88237343779652189"/>
    <d v="2024-01-20T00:00:00"/>
    <x v="1"/>
  </r>
  <r>
    <s v="January"/>
    <n v="1"/>
    <x v="0"/>
    <x v="0"/>
    <n v="7409657"/>
    <n v="6271336"/>
    <n v="1138321"/>
    <x v="3"/>
    <n v="0.84637332065438386"/>
    <m/>
    <x v="1"/>
  </r>
  <r>
    <s v="January"/>
    <n v="1"/>
    <x v="0"/>
    <x v="0"/>
    <n v="10932582"/>
    <n v="9516586"/>
    <n v="1415996"/>
    <x v="4"/>
    <n v="0.87047927013033155"/>
    <d v="2025-01-25T00:00:00"/>
    <x v="0"/>
  </r>
  <r>
    <s v="January"/>
    <n v="1"/>
    <x v="0"/>
    <x v="0"/>
    <n v="6641746"/>
    <n v="2466037"/>
    <n v="4175709"/>
    <x v="5"/>
    <n v="0.37129348216568353"/>
    <d v="2025-01-23T00:00:00"/>
    <x v="0"/>
  </r>
  <r>
    <s v="January"/>
    <n v="1"/>
    <x v="0"/>
    <x v="1"/>
    <n v="9406634"/>
    <n v="1310092"/>
    <n v="8096542"/>
    <x v="6"/>
    <n v="0.13927319804299818"/>
    <m/>
    <x v="1"/>
  </r>
  <r>
    <s v="January"/>
    <n v="1"/>
    <x v="0"/>
    <x v="1"/>
    <n v="9406634"/>
    <n v="1310092"/>
    <n v="8096542"/>
    <x v="6"/>
    <n v="0.13927319804299818"/>
    <m/>
    <x v="0"/>
  </r>
  <r>
    <s v="January"/>
    <n v="1"/>
    <x v="0"/>
    <x v="0"/>
    <n v="7713630"/>
    <n v="1832250"/>
    <n v="5881380"/>
    <x v="1"/>
    <n v="0.23753407928562817"/>
    <d v="2025-01-24T00:00:00"/>
    <x v="0"/>
  </r>
  <r>
    <s v="January"/>
    <n v="1"/>
    <x v="0"/>
    <x v="1"/>
    <n v="12433378"/>
    <n v="3398230"/>
    <n v="9035148"/>
    <x v="7"/>
    <n v="0.27331510390820579"/>
    <d v="2024-01-22T00:00:00"/>
    <x v="1"/>
  </r>
  <r>
    <s v="January"/>
    <n v="1"/>
    <x v="0"/>
    <x v="1"/>
    <n v="13395142"/>
    <n v="3866714"/>
    <n v="9528428"/>
    <x v="8"/>
    <n v="0.28866539824661808"/>
    <d v="2024-01-11T00:00:00"/>
    <x v="1"/>
  </r>
  <r>
    <s v="January"/>
    <n v="1"/>
    <x v="0"/>
    <x v="1"/>
    <n v="9406634"/>
    <n v="1310092"/>
    <n v="8096542"/>
    <x v="6"/>
    <n v="0.13927319804299818"/>
    <d v="2025-01-22T00:00:00"/>
    <x v="0"/>
  </r>
  <r>
    <s v="January"/>
    <n v="1"/>
    <x v="0"/>
    <x v="1"/>
    <n v="13395811"/>
    <n v="8109917"/>
    <n v="5285894"/>
    <x v="9"/>
    <n v="0.60540694400660022"/>
    <d v="2024-01-26T00:00:00"/>
    <x v="1"/>
  </r>
  <r>
    <s v="January"/>
    <n v="1"/>
    <x v="0"/>
    <x v="1"/>
    <n v="17772619"/>
    <n v="3751148"/>
    <n v="14021471"/>
    <x v="10"/>
    <n v="0.21106332161849642"/>
    <d v="2024-01-01T00:00:00"/>
    <x v="1"/>
  </r>
  <r>
    <s v="January"/>
    <n v="1"/>
    <x v="0"/>
    <x v="1"/>
    <n v="6659621"/>
    <n v="5718412"/>
    <n v="941209"/>
    <x v="11"/>
    <n v="0.85866928463346492"/>
    <m/>
    <x v="1"/>
  </r>
  <r>
    <s v="January"/>
    <n v="1"/>
    <x v="0"/>
    <x v="1"/>
    <n v="9406634"/>
    <n v="1310092"/>
    <n v="8096542"/>
    <x v="6"/>
    <n v="0.13927319804299818"/>
    <d v="2025-01-14T00:00:00"/>
    <x v="0"/>
  </r>
  <r>
    <s v="January"/>
    <n v="1"/>
    <x v="0"/>
    <x v="1"/>
    <n v="9166769"/>
    <n v="7049977"/>
    <n v="2116792"/>
    <x v="12"/>
    <n v="0.76907981427261884"/>
    <d v="2024-01-12T00:00:00"/>
    <x v="1"/>
  </r>
  <r>
    <s v="January"/>
    <n v="1"/>
    <x v="0"/>
    <x v="1"/>
    <n v="10655734"/>
    <n v="2408508"/>
    <n v="8247226"/>
    <x v="13"/>
    <n v="0.22602929089633805"/>
    <d v="2025-01-17T00:00:00"/>
    <x v="0"/>
  </r>
  <r>
    <s v="January"/>
    <n v="1"/>
    <x v="0"/>
    <x v="0"/>
    <n v="6641746"/>
    <n v="2466037"/>
    <n v="4175709"/>
    <x v="5"/>
    <n v="0.37129348216568353"/>
    <d v="2024-01-28T00:00:00"/>
    <x v="1"/>
  </r>
  <r>
    <s v="January"/>
    <n v="1"/>
    <x v="0"/>
    <x v="0"/>
    <n v="7684666"/>
    <n v="5053533"/>
    <n v="2631133"/>
    <x v="14"/>
    <n v="0.65761257548473806"/>
    <d v="2024-01-31T00:00:00"/>
    <x v="1"/>
  </r>
  <r>
    <s v="January"/>
    <n v="1"/>
    <x v="0"/>
    <x v="0"/>
    <n v="2093322"/>
    <n v="846252"/>
    <n v="1247070"/>
    <x v="0"/>
    <n v="0.40426269823753824"/>
    <d v="2025-01-29T00:00:00"/>
    <x v="0"/>
  </r>
  <r>
    <s v="January"/>
    <n v="1"/>
    <x v="0"/>
    <x v="0"/>
    <n v="7684666"/>
    <n v="5053533"/>
    <n v="2631133"/>
    <x v="14"/>
    <n v="0.65761257548473806"/>
    <d v="2024-01-08T00:00:00"/>
    <x v="1"/>
  </r>
  <r>
    <s v="January"/>
    <n v="1"/>
    <x v="0"/>
    <x v="0"/>
    <n v="10932582"/>
    <n v="9516586"/>
    <n v="1415996"/>
    <x v="4"/>
    <n v="0.87047927013033155"/>
    <d v="2025-01-17T00:00:00"/>
    <x v="0"/>
  </r>
  <r>
    <s v="January"/>
    <n v="1"/>
    <x v="0"/>
    <x v="0"/>
    <n v="7713630"/>
    <n v="1832250"/>
    <n v="5881380"/>
    <x v="1"/>
    <n v="0.23753407928562817"/>
    <d v="2024-01-04T00:00:00"/>
    <x v="1"/>
  </r>
  <r>
    <s v="January"/>
    <n v="1"/>
    <x v="0"/>
    <x v="0"/>
    <n v="6641746"/>
    <n v="2466037"/>
    <n v="4175709"/>
    <x v="5"/>
    <n v="0.37129348216568353"/>
    <d v="2025-01-02T00:00:00"/>
    <x v="0"/>
  </r>
  <r>
    <s v="February"/>
    <n v="2"/>
    <x v="0"/>
    <x v="1"/>
    <n v="9406634"/>
    <n v="1310092"/>
    <n v="8096542"/>
    <x v="6"/>
    <n v="0.13927319804299818"/>
    <d v="2024-02-27T00:00:00"/>
    <x v="1"/>
  </r>
  <r>
    <s v="February"/>
    <n v="2"/>
    <x v="0"/>
    <x v="1"/>
    <n v="6659621"/>
    <n v="5718412"/>
    <n v="941209"/>
    <x v="11"/>
    <n v="0.85866928463346492"/>
    <d v="2024-02-02T00:00:00"/>
    <x v="1"/>
  </r>
  <r>
    <s v="February"/>
    <n v="2"/>
    <x v="0"/>
    <x v="0"/>
    <n v="6641746"/>
    <n v="2466037"/>
    <n v="4175709"/>
    <x v="5"/>
    <n v="0.37129348216568353"/>
    <d v="2025-02-09T00:00:00"/>
    <x v="0"/>
  </r>
  <r>
    <s v="February"/>
    <n v="2"/>
    <x v="0"/>
    <x v="1"/>
    <n v="12433378"/>
    <n v="3398230"/>
    <n v="9035148"/>
    <x v="7"/>
    <n v="0.27331510390820579"/>
    <d v="2025-02-14T00:00:00"/>
    <x v="0"/>
  </r>
  <r>
    <s v="February"/>
    <n v="2"/>
    <x v="0"/>
    <x v="1"/>
    <n v="17872796"/>
    <n v="4065021"/>
    <n v="13807775"/>
    <x v="15"/>
    <n v="0.22744180597148875"/>
    <d v="2024-02-14T00:00:00"/>
    <x v="1"/>
  </r>
  <r>
    <s v="February"/>
    <n v="2"/>
    <x v="0"/>
    <x v="0"/>
    <n v="6641746"/>
    <n v="2466037"/>
    <n v="4175709"/>
    <x v="5"/>
    <n v="0.37129348216568353"/>
    <d v="2025-02-12T00:00:00"/>
    <x v="0"/>
  </r>
  <r>
    <s v="February"/>
    <n v="2"/>
    <x v="0"/>
    <x v="0"/>
    <n v="3115955"/>
    <n v="2888010"/>
    <n v="227945"/>
    <x v="16"/>
    <n v="0.92684586266489732"/>
    <d v="2024-02-02T00:00:00"/>
    <x v="1"/>
  </r>
  <r>
    <s v="February"/>
    <n v="2"/>
    <x v="0"/>
    <x v="0"/>
    <n v="6641746"/>
    <n v="2466037"/>
    <n v="4175709"/>
    <x v="5"/>
    <n v="0.37129348216568353"/>
    <d v="2024-02-29T00:00:00"/>
    <x v="1"/>
  </r>
  <r>
    <s v="February"/>
    <n v="2"/>
    <x v="0"/>
    <x v="1"/>
    <n v="17872796"/>
    <n v="4065021"/>
    <n v="13807775"/>
    <x v="15"/>
    <n v="0.22744180597148875"/>
    <d v="2025-02-10T00:00:00"/>
    <x v="0"/>
  </r>
  <r>
    <s v="February"/>
    <n v="2"/>
    <x v="0"/>
    <x v="0"/>
    <n v="9814492"/>
    <n v="5074629"/>
    <n v="4739863"/>
    <x v="17"/>
    <n v="0.51705467791914239"/>
    <d v="2024-02-02T00:00:00"/>
    <x v="1"/>
  </r>
  <r>
    <s v="February"/>
    <n v="2"/>
    <x v="0"/>
    <x v="1"/>
    <n v="6659621"/>
    <n v="5718412"/>
    <n v="941209"/>
    <x v="11"/>
    <n v="0.85866928463346492"/>
    <d v="2025-02-12T00:00:00"/>
    <x v="0"/>
  </r>
  <r>
    <s v="February"/>
    <n v="2"/>
    <x v="0"/>
    <x v="0"/>
    <n v="9814492"/>
    <n v="5074629"/>
    <n v="4739863"/>
    <x v="17"/>
    <n v="0.51705467791914239"/>
    <d v="2024-02-18T00:00:00"/>
    <x v="1"/>
  </r>
  <r>
    <s v="February"/>
    <n v="2"/>
    <x v="0"/>
    <x v="0"/>
    <n v="6629660"/>
    <n v="3523400"/>
    <n v="3106260"/>
    <x v="18"/>
    <n v="0.5314601352105538"/>
    <d v="2024-02-09T00:00:00"/>
    <x v="1"/>
  </r>
  <r>
    <s v="February"/>
    <n v="2"/>
    <x v="0"/>
    <x v="0"/>
    <n v="9869633"/>
    <n v="8708702"/>
    <n v="1160931"/>
    <x v="2"/>
    <n v="0.88237343779652189"/>
    <d v="2024-02-16T00:00:00"/>
    <x v="1"/>
  </r>
  <r>
    <s v="February"/>
    <n v="2"/>
    <x v="0"/>
    <x v="0"/>
    <n v="9869633"/>
    <n v="8708702"/>
    <n v="1160931"/>
    <x v="2"/>
    <n v="0.88237343779652189"/>
    <d v="2025-02-11T00:00:00"/>
    <x v="0"/>
  </r>
  <r>
    <s v="March"/>
    <n v="3"/>
    <x v="0"/>
    <x v="0"/>
    <n v="10932582"/>
    <n v="9516586"/>
    <n v="1415996"/>
    <x v="4"/>
    <n v="0.87047927013033155"/>
    <d v="2024-03-21T00:00:00"/>
    <x v="1"/>
  </r>
  <r>
    <s v="March"/>
    <n v="3"/>
    <x v="0"/>
    <x v="1"/>
    <n v="13395811"/>
    <n v="8109917"/>
    <n v="5285894"/>
    <x v="9"/>
    <n v="0.60540694400660022"/>
    <d v="2025-03-05T00:00:00"/>
    <x v="0"/>
  </r>
  <r>
    <s v="March"/>
    <n v="3"/>
    <x v="0"/>
    <x v="0"/>
    <n v="7409657"/>
    <n v="6271336"/>
    <n v="1138321"/>
    <x v="3"/>
    <n v="0.84637332065438386"/>
    <d v="2024-03-14T00:00:00"/>
    <x v="1"/>
  </r>
  <r>
    <s v="March"/>
    <n v="3"/>
    <x v="0"/>
    <x v="0"/>
    <n v="7684666"/>
    <n v="5053533"/>
    <n v="2631133"/>
    <x v="14"/>
    <n v="0.65761257548473806"/>
    <d v="2024-03-12T00:00:00"/>
    <x v="1"/>
  </r>
  <r>
    <s v="March"/>
    <n v="3"/>
    <x v="0"/>
    <x v="1"/>
    <n v="13395811"/>
    <n v="8109917"/>
    <n v="5285894"/>
    <x v="9"/>
    <n v="0.60540694400660022"/>
    <d v="2024-03-11T00:00:00"/>
    <x v="1"/>
  </r>
  <r>
    <s v="March"/>
    <n v="3"/>
    <x v="0"/>
    <x v="0"/>
    <n v="6629660"/>
    <n v="3523400"/>
    <n v="3106260"/>
    <x v="18"/>
    <n v="0.5314601352105538"/>
    <d v="2024-03-22T00:00:00"/>
    <x v="1"/>
  </r>
  <r>
    <s v="March"/>
    <n v="3"/>
    <x v="0"/>
    <x v="1"/>
    <n v="9166769"/>
    <n v="7049977"/>
    <n v="2116792"/>
    <x v="12"/>
    <n v="0.76907981427261884"/>
    <d v="2024-03-21T00:00:00"/>
    <x v="1"/>
  </r>
  <r>
    <s v="March"/>
    <n v="3"/>
    <x v="0"/>
    <x v="1"/>
    <n v="10422659"/>
    <n v="8777125"/>
    <n v="1645534"/>
    <x v="19"/>
    <n v="0.84211955893404933"/>
    <d v="2025-03-06T00:00:00"/>
    <x v="0"/>
  </r>
  <r>
    <s v="March"/>
    <n v="3"/>
    <x v="0"/>
    <x v="0"/>
    <n v="2093322"/>
    <n v="846252"/>
    <n v="1247070"/>
    <x v="0"/>
    <n v="0.40426269823753824"/>
    <d v="2025-03-08T00:00:00"/>
    <x v="0"/>
  </r>
  <r>
    <s v="March"/>
    <n v="3"/>
    <x v="0"/>
    <x v="1"/>
    <n v="8925622"/>
    <n v="7859625"/>
    <n v="1065997"/>
    <x v="20"/>
    <n v="0.88056888360273378"/>
    <d v="2025-03-07T00:00:00"/>
    <x v="0"/>
  </r>
  <r>
    <s v="March"/>
    <n v="3"/>
    <x v="0"/>
    <x v="0"/>
    <n v="3115955"/>
    <n v="2888010"/>
    <n v="227945"/>
    <x v="16"/>
    <n v="0.92684586266489732"/>
    <d v="2024-03-10T00:00:00"/>
    <x v="1"/>
  </r>
  <r>
    <s v="March"/>
    <n v="3"/>
    <x v="0"/>
    <x v="0"/>
    <n v="7713630"/>
    <n v="1832250"/>
    <n v="5881380"/>
    <x v="1"/>
    <n v="0.23753407928562817"/>
    <d v="2024-03-01T00:00:00"/>
    <x v="1"/>
  </r>
  <r>
    <s v="March"/>
    <n v="3"/>
    <x v="0"/>
    <x v="0"/>
    <n v="7409657"/>
    <n v="6271336"/>
    <n v="1138321"/>
    <x v="3"/>
    <n v="0.84637332065438386"/>
    <d v="2025-03-08T00:00:00"/>
    <x v="0"/>
  </r>
  <r>
    <s v="March"/>
    <n v="3"/>
    <x v="0"/>
    <x v="1"/>
    <n v="9406634"/>
    <n v="1310092"/>
    <n v="8096542"/>
    <x v="6"/>
    <n v="0.13927319804299818"/>
    <d v="2025-03-14T00:00:00"/>
    <x v="0"/>
  </r>
  <r>
    <s v="March"/>
    <n v="3"/>
    <x v="0"/>
    <x v="0"/>
    <n v="10932582"/>
    <n v="9516586"/>
    <n v="1415996"/>
    <x v="4"/>
    <n v="0.87047927013033155"/>
    <d v="2024-03-13T00:00:00"/>
    <x v="1"/>
  </r>
  <r>
    <s v="March"/>
    <n v="3"/>
    <x v="0"/>
    <x v="1"/>
    <n v="17872796"/>
    <n v="4065021"/>
    <n v="13807775"/>
    <x v="15"/>
    <n v="0.22744180597148875"/>
    <d v="2024-03-28T00:00:00"/>
    <x v="1"/>
  </r>
  <r>
    <s v="March"/>
    <n v="3"/>
    <x v="0"/>
    <x v="0"/>
    <n v="9869633"/>
    <n v="8708702"/>
    <n v="1160931"/>
    <x v="2"/>
    <n v="0.88237343779652189"/>
    <d v="2024-03-13T00:00:00"/>
    <x v="1"/>
  </r>
  <r>
    <s v="March"/>
    <n v="3"/>
    <x v="0"/>
    <x v="1"/>
    <n v="17872796"/>
    <n v="4065021"/>
    <n v="13807775"/>
    <x v="15"/>
    <n v="0.22744180597148875"/>
    <d v="2025-03-24T00:00:00"/>
    <x v="0"/>
  </r>
  <r>
    <s v="March"/>
    <n v="3"/>
    <x v="0"/>
    <x v="1"/>
    <n v="13243123"/>
    <n v="5468428"/>
    <n v="7774695"/>
    <x v="21"/>
    <n v="0.41292586348401356"/>
    <d v="2024-03-30T00:00:00"/>
    <x v="1"/>
  </r>
  <r>
    <s v="March"/>
    <n v="3"/>
    <x v="0"/>
    <x v="0"/>
    <n v="9869633"/>
    <n v="8708702"/>
    <n v="1160931"/>
    <x v="2"/>
    <n v="0.88237343779652189"/>
    <d v="2025-03-21T00:00:00"/>
    <x v="0"/>
  </r>
  <r>
    <s v="April"/>
    <n v="4"/>
    <x v="1"/>
    <x v="0"/>
    <n v="7409657"/>
    <n v="6271336"/>
    <n v="1138321"/>
    <x v="3"/>
    <n v="0.84637332065438386"/>
    <d v="2024-04-03T00:00:00"/>
    <x v="1"/>
  </r>
  <r>
    <s v="April"/>
    <n v="4"/>
    <x v="1"/>
    <x v="0"/>
    <n v="6629660"/>
    <n v="3523400"/>
    <n v="3106260"/>
    <x v="18"/>
    <n v="0.5314601352105538"/>
    <d v="2025-04-18T00:00:00"/>
    <x v="0"/>
  </r>
  <r>
    <s v="April"/>
    <n v="4"/>
    <x v="1"/>
    <x v="0"/>
    <n v="10887632"/>
    <n v="3314932"/>
    <n v="7572700"/>
    <x v="22"/>
    <n v="0.30446767488100257"/>
    <d v="2025-04-09T00:00:00"/>
    <x v="0"/>
  </r>
  <r>
    <s v="April"/>
    <n v="4"/>
    <x v="1"/>
    <x v="0"/>
    <n v="6629660"/>
    <n v="3523400"/>
    <n v="3106260"/>
    <x v="18"/>
    <n v="0.5314601352105538"/>
    <d v="2025-04-14T00:00:00"/>
    <x v="0"/>
  </r>
  <r>
    <s v="April"/>
    <n v="4"/>
    <x v="1"/>
    <x v="0"/>
    <n v="5297234"/>
    <n v="3596622"/>
    <n v="1700612"/>
    <x v="23"/>
    <n v="0.67896226596748421"/>
    <d v="2024-04-14T00:00:00"/>
    <x v="1"/>
  </r>
  <r>
    <s v="April"/>
    <n v="4"/>
    <x v="1"/>
    <x v="0"/>
    <n v="10932582"/>
    <n v="9516586"/>
    <n v="1415996"/>
    <x v="4"/>
    <n v="0.87047927013033155"/>
    <d v="2024-04-18T00:00:00"/>
    <x v="1"/>
  </r>
  <r>
    <s v="April"/>
    <n v="4"/>
    <x v="1"/>
    <x v="0"/>
    <n v="5297234"/>
    <n v="3596622"/>
    <n v="1700612"/>
    <x v="23"/>
    <n v="0.67896226596748421"/>
    <d v="2024-04-24T00:00:00"/>
    <x v="1"/>
  </r>
  <r>
    <s v="April"/>
    <n v="4"/>
    <x v="1"/>
    <x v="1"/>
    <n v="13395142"/>
    <n v="3866714"/>
    <n v="9528428"/>
    <x v="8"/>
    <n v="0.28866539824661808"/>
    <d v="2025-04-24T00:00:00"/>
    <x v="0"/>
  </r>
  <r>
    <s v="April"/>
    <n v="4"/>
    <x v="1"/>
    <x v="1"/>
    <n v="13395142"/>
    <n v="3866714"/>
    <n v="9528428"/>
    <x v="8"/>
    <n v="0.28866539824661808"/>
    <d v="2024-04-24T00:00:00"/>
    <x v="1"/>
  </r>
  <r>
    <s v="April"/>
    <n v="4"/>
    <x v="1"/>
    <x v="1"/>
    <n v="10655734"/>
    <n v="2408508"/>
    <n v="8247226"/>
    <x v="13"/>
    <n v="0.22602929089633805"/>
    <d v="2024-04-27T00:00:00"/>
    <x v="1"/>
  </r>
  <r>
    <s v="April"/>
    <n v="4"/>
    <x v="1"/>
    <x v="1"/>
    <n v="9406634"/>
    <n v="1310092"/>
    <n v="8096542"/>
    <x v="6"/>
    <n v="0.13927319804299818"/>
    <d v="2025-04-04T00:00:00"/>
    <x v="0"/>
  </r>
  <r>
    <s v="April"/>
    <n v="4"/>
    <x v="1"/>
    <x v="0"/>
    <n v="7684666"/>
    <n v="5053533"/>
    <n v="2631133"/>
    <x v="14"/>
    <n v="0.65761257548473806"/>
    <d v="2024-04-22T00:00:00"/>
    <x v="1"/>
  </r>
  <r>
    <s v="April"/>
    <n v="4"/>
    <x v="1"/>
    <x v="0"/>
    <n v="10887632"/>
    <n v="3314932"/>
    <n v="7572700"/>
    <x v="22"/>
    <n v="0.30446767488100257"/>
    <d v="2024-04-04T00:00:00"/>
    <x v="1"/>
  </r>
  <r>
    <s v="April"/>
    <n v="4"/>
    <x v="1"/>
    <x v="0"/>
    <n v="9814492"/>
    <n v="5074629"/>
    <n v="4739863"/>
    <x v="17"/>
    <n v="0.51705467791914239"/>
    <d v="2024-04-24T00:00:00"/>
    <x v="1"/>
  </r>
  <r>
    <s v="April"/>
    <n v="4"/>
    <x v="1"/>
    <x v="0"/>
    <n v="6629660"/>
    <n v="3523400"/>
    <n v="3106260"/>
    <x v="18"/>
    <n v="0.5314601352105538"/>
    <d v="2024-04-09T00:00:00"/>
    <x v="1"/>
  </r>
  <r>
    <s v="April"/>
    <n v="4"/>
    <x v="1"/>
    <x v="1"/>
    <n v="17772619"/>
    <n v="3751148"/>
    <n v="14021471"/>
    <x v="10"/>
    <n v="0.21106332161849642"/>
    <d v="2024-04-08T00:00:00"/>
    <x v="1"/>
  </r>
  <r>
    <s v="April"/>
    <n v="4"/>
    <x v="1"/>
    <x v="1"/>
    <n v="13395811"/>
    <n v="8109917"/>
    <n v="5285894"/>
    <x v="9"/>
    <n v="0.60540694400660022"/>
    <d v="2025-04-07T00:00:00"/>
    <x v="0"/>
  </r>
  <r>
    <s v="April"/>
    <n v="4"/>
    <x v="1"/>
    <x v="1"/>
    <n v="10655734"/>
    <n v="2408508"/>
    <n v="8247226"/>
    <x v="13"/>
    <n v="0.22602929089633805"/>
    <d v="2024-04-14T00:00:00"/>
    <x v="1"/>
  </r>
  <r>
    <s v="April"/>
    <n v="4"/>
    <x v="1"/>
    <x v="0"/>
    <n v="9869633"/>
    <n v="8708702"/>
    <n v="1160931"/>
    <x v="2"/>
    <n v="0.88237343779652189"/>
    <d v="2024-04-05T00:00:00"/>
    <x v="1"/>
  </r>
  <r>
    <s v="April"/>
    <n v="4"/>
    <x v="1"/>
    <x v="0"/>
    <n v="3115955"/>
    <n v="2888010"/>
    <n v="227945"/>
    <x v="16"/>
    <n v="0.92684586266489732"/>
    <d v="2024-04-13T00:00:00"/>
    <x v="1"/>
  </r>
  <r>
    <s v="April"/>
    <n v="4"/>
    <x v="1"/>
    <x v="1"/>
    <n v="13395142"/>
    <n v="3866714"/>
    <n v="9528428"/>
    <x v="8"/>
    <n v="0.28866539824661808"/>
    <d v="2025-04-15T00:00:00"/>
    <x v="0"/>
  </r>
  <r>
    <s v="April"/>
    <n v="4"/>
    <x v="1"/>
    <x v="0"/>
    <n v="7684666"/>
    <n v="5053533"/>
    <n v="2631133"/>
    <x v="14"/>
    <n v="0.65761257548473806"/>
    <d v="2024-04-08T00:00:00"/>
    <x v="1"/>
  </r>
  <r>
    <s v="May"/>
    <n v="5"/>
    <x v="1"/>
    <x v="1"/>
    <n v="12433378"/>
    <n v="3398230"/>
    <n v="9035148"/>
    <x v="7"/>
    <n v="0.27331510390820579"/>
    <d v="2025-05-10T00:00:00"/>
    <x v="0"/>
  </r>
  <r>
    <s v="May"/>
    <n v="5"/>
    <x v="1"/>
    <x v="0"/>
    <n v="9869633"/>
    <n v="8708702"/>
    <n v="1160931"/>
    <x v="2"/>
    <n v="0.88237343779652189"/>
    <d v="2024-05-06T00:00:00"/>
    <x v="1"/>
  </r>
  <r>
    <s v="May"/>
    <n v="5"/>
    <x v="1"/>
    <x v="0"/>
    <n v="2093322"/>
    <n v="846252"/>
    <n v="1247070"/>
    <x v="0"/>
    <n v="0.40426269823753824"/>
    <d v="2024-05-22T00:00:00"/>
    <x v="1"/>
  </r>
  <r>
    <s v="May"/>
    <n v="5"/>
    <x v="1"/>
    <x v="1"/>
    <n v="13243123"/>
    <n v="5468428"/>
    <n v="7774695"/>
    <x v="21"/>
    <n v="0.41292586348401356"/>
    <d v="2025-05-01T00:00:00"/>
    <x v="0"/>
  </r>
  <r>
    <s v="May"/>
    <n v="5"/>
    <x v="1"/>
    <x v="1"/>
    <n v="9166769"/>
    <n v="7049977"/>
    <n v="2116792"/>
    <x v="12"/>
    <n v="0.76907981427261884"/>
    <d v="2024-05-11T00:00:00"/>
    <x v="1"/>
  </r>
  <r>
    <s v="May"/>
    <n v="5"/>
    <x v="1"/>
    <x v="1"/>
    <n v="9406634"/>
    <n v="1310092"/>
    <n v="8096542"/>
    <x v="6"/>
    <n v="0.13927319804299818"/>
    <d v="2024-05-08T00:00:00"/>
    <x v="1"/>
  </r>
  <r>
    <s v="May"/>
    <n v="5"/>
    <x v="1"/>
    <x v="0"/>
    <n v="7684666"/>
    <n v="5053533"/>
    <n v="2631133"/>
    <x v="14"/>
    <n v="0.65761257548473806"/>
    <d v="2024-05-08T00:00:00"/>
    <x v="1"/>
  </r>
  <r>
    <s v="May"/>
    <n v="5"/>
    <x v="1"/>
    <x v="0"/>
    <n v="5297234"/>
    <n v="3596622"/>
    <n v="1700612"/>
    <x v="23"/>
    <n v="0.67896226596748421"/>
    <d v="2025-05-26T00:00:00"/>
    <x v="0"/>
  </r>
  <r>
    <s v="May"/>
    <n v="5"/>
    <x v="1"/>
    <x v="0"/>
    <n v="6641746"/>
    <n v="2466037"/>
    <n v="4175709"/>
    <x v="5"/>
    <n v="0.37129348216568353"/>
    <d v="2025-05-27T00:00:00"/>
    <x v="0"/>
  </r>
  <r>
    <s v="May"/>
    <n v="5"/>
    <x v="1"/>
    <x v="0"/>
    <n v="6641746"/>
    <n v="2466037"/>
    <n v="4175709"/>
    <x v="5"/>
    <n v="0.37129348216568353"/>
    <d v="2024-05-26T00:00:00"/>
    <x v="1"/>
  </r>
  <r>
    <s v="May"/>
    <n v="5"/>
    <x v="1"/>
    <x v="1"/>
    <n v="10655734"/>
    <n v="2408508"/>
    <n v="8247226"/>
    <x v="13"/>
    <n v="0.22602929089633805"/>
    <d v="2025-05-01T00:00:00"/>
    <x v="0"/>
  </r>
  <r>
    <s v="May"/>
    <n v="5"/>
    <x v="1"/>
    <x v="1"/>
    <n v="8925622"/>
    <n v="7859625"/>
    <n v="1065997"/>
    <x v="20"/>
    <n v="0.88056888360273378"/>
    <d v="2024-05-21T00:00:00"/>
    <x v="1"/>
  </r>
  <r>
    <s v="May"/>
    <n v="5"/>
    <x v="1"/>
    <x v="1"/>
    <n v="10422659"/>
    <n v="8777125"/>
    <n v="1645534"/>
    <x v="19"/>
    <n v="0.84211955893404933"/>
    <d v="2024-05-03T00:00:00"/>
    <x v="1"/>
  </r>
  <r>
    <s v="May"/>
    <n v="5"/>
    <x v="1"/>
    <x v="1"/>
    <n v="6659621"/>
    <n v="5718412"/>
    <n v="941209"/>
    <x v="11"/>
    <n v="0.85866928463346492"/>
    <d v="2024-05-22T00:00:00"/>
    <x v="1"/>
  </r>
  <r>
    <s v="May"/>
    <n v="5"/>
    <x v="1"/>
    <x v="1"/>
    <n v="10655734"/>
    <n v="2408508"/>
    <n v="8247226"/>
    <x v="13"/>
    <n v="0.22602929089633805"/>
    <d v="2024-05-15T00:00:00"/>
    <x v="1"/>
  </r>
  <r>
    <s v="May"/>
    <n v="5"/>
    <x v="1"/>
    <x v="1"/>
    <n v="13243123"/>
    <n v="5468428"/>
    <n v="7774695"/>
    <x v="21"/>
    <n v="0.41292586348401356"/>
    <d v="2025-05-06T00:00:00"/>
    <x v="0"/>
  </r>
  <r>
    <s v="May"/>
    <n v="5"/>
    <x v="1"/>
    <x v="1"/>
    <n v="17772619"/>
    <n v="3751148"/>
    <n v="14021471"/>
    <x v="10"/>
    <n v="0.21106332161849642"/>
    <d v="2025-05-20T00:00:00"/>
    <x v="0"/>
  </r>
  <r>
    <s v="May"/>
    <n v="5"/>
    <x v="1"/>
    <x v="0"/>
    <n v="7684666"/>
    <n v="5053533"/>
    <n v="2631133"/>
    <x v="14"/>
    <n v="0.65761257548473806"/>
    <d v="2025-05-15T00:00:00"/>
    <x v="0"/>
  </r>
  <r>
    <s v="June"/>
    <n v="6"/>
    <x v="1"/>
    <x v="0"/>
    <n v="2093322"/>
    <n v="846252"/>
    <n v="1247070"/>
    <x v="0"/>
    <n v="0.40426269823753824"/>
    <d v="2025-06-03T00:00:00"/>
    <x v="0"/>
  </r>
  <r>
    <s v="June"/>
    <n v="6"/>
    <x v="1"/>
    <x v="0"/>
    <n v="3115955"/>
    <n v="2888010"/>
    <n v="227945"/>
    <x v="16"/>
    <n v="0.92684586266489732"/>
    <d v="2024-06-03T00:00:00"/>
    <x v="1"/>
  </r>
  <r>
    <s v="June"/>
    <n v="6"/>
    <x v="1"/>
    <x v="0"/>
    <n v="10887632"/>
    <n v="3314932"/>
    <n v="7572700"/>
    <x v="22"/>
    <n v="0.30446767488100257"/>
    <d v="2025-06-01T00:00:00"/>
    <x v="0"/>
  </r>
  <r>
    <s v="June"/>
    <n v="6"/>
    <x v="1"/>
    <x v="1"/>
    <n v="13395142"/>
    <n v="3866714"/>
    <n v="9528428"/>
    <x v="8"/>
    <n v="0.28866539824661808"/>
    <d v="2025-06-13T00:00:00"/>
    <x v="0"/>
  </r>
  <r>
    <s v="June"/>
    <n v="6"/>
    <x v="1"/>
    <x v="1"/>
    <n v="13243123"/>
    <n v="5468428"/>
    <n v="7774695"/>
    <x v="21"/>
    <n v="0.41292586348401356"/>
    <d v="2025-06-27T00:00:00"/>
    <x v="0"/>
  </r>
  <r>
    <s v="June"/>
    <n v="6"/>
    <x v="1"/>
    <x v="1"/>
    <n v="6659621"/>
    <n v="5718412"/>
    <n v="941209"/>
    <x v="11"/>
    <n v="0.85866928463346492"/>
    <d v="2024-06-03T00:00:00"/>
    <x v="1"/>
  </r>
  <r>
    <s v="June"/>
    <n v="6"/>
    <x v="1"/>
    <x v="1"/>
    <n v="12433378"/>
    <n v="3398230"/>
    <n v="9035148"/>
    <x v="7"/>
    <n v="0.27331510390820579"/>
    <d v="2024-06-12T00:00:00"/>
    <x v="1"/>
  </r>
  <r>
    <s v="June"/>
    <n v="6"/>
    <x v="1"/>
    <x v="1"/>
    <n v="13395811"/>
    <n v="8109917"/>
    <n v="5285894"/>
    <x v="9"/>
    <n v="0.60540694400660022"/>
    <d v="2025-06-25T00:00:00"/>
    <x v="0"/>
  </r>
  <r>
    <s v="June"/>
    <n v="6"/>
    <x v="1"/>
    <x v="1"/>
    <n v="12433378"/>
    <n v="3398230"/>
    <n v="9035148"/>
    <x v="7"/>
    <n v="0.27331510390820579"/>
    <d v="2024-06-14T00:00:00"/>
    <x v="1"/>
  </r>
  <r>
    <s v="June"/>
    <n v="6"/>
    <x v="1"/>
    <x v="0"/>
    <n v="5297234"/>
    <n v="3596622"/>
    <n v="1700612"/>
    <x v="23"/>
    <n v="0.67896226596748421"/>
    <d v="2024-06-10T00:00:00"/>
    <x v="1"/>
  </r>
  <r>
    <s v="June"/>
    <n v="6"/>
    <x v="1"/>
    <x v="1"/>
    <n v="17772619"/>
    <n v="3751148"/>
    <n v="14021471"/>
    <x v="10"/>
    <n v="0.21106332161849642"/>
    <d v="2025-06-24T00:00:00"/>
    <x v="0"/>
  </r>
  <r>
    <s v="June"/>
    <n v="6"/>
    <x v="1"/>
    <x v="1"/>
    <n v="10422659"/>
    <n v="8777125"/>
    <n v="1645534"/>
    <x v="19"/>
    <n v="0.84211955893404933"/>
    <d v="2025-06-29T00:00:00"/>
    <x v="0"/>
  </r>
  <r>
    <s v="June"/>
    <n v="6"/>
    <x v="1"/>
    <x v="1"/>
    <n v="8925622"/>
    <n v="7859625"/>
    <n v="1065997"/>
    <x v="20"/>
    <n v="0.88056888360273378"/>
    <d v="2025-06-07T00:00:00"/>
    <x v="0"/>
  </r>
  <r>
    <s v="June"/>
    <n v="6"/>
    <x v="1"/>
    <x v="1"/>
    <n v="8925622"/>
    <n v="7859625"/>
    <n v="1065997"/>
    <x v="20"/>
    <n v="0.88056888360273378"/>
    <d v="2024-06-18T00:00:00"/>
    <x v="1"/>
  </r>
  <r>
    <s v="June"/>
    <n v="6"/>
    <x v="1"/>
    <x v="0"/>
    <n v="9869633"/>
    <n v="8708702"/>
    <n v="1160931"/>
    <x v="2"/>
    <n v="0.88237343779652189"/>
    <d v="2024-06-24T00:00:00"/>
    <x v="1"/>
  </r>
  <r>
    <s v="June"/>
    <n v="6"/>
    <x v="1"/>
    <x v="1"/>
    <n v="17872796"/>
    <n v="4065021"/>
    <n v="13807775"/>
    <x v="15"/>
    <n v="0.22744180597148875"/>
    <d v="2025-06-10T00:00:00"/>
    <x v="0"/>
  </r>
  <r>
    <s v="June"/>
    <n v="6"/>
    <x v="1"/>
    <x v="1"/>
    <n v="6659621"/>
    <n v="5718412"/>
    <n v="941209"/>
    <x v="11"/>
    <n v="0.85866928463346492"/>
    <d v="2024-06-05T00:00:00"/>
    <x v="1"/>
  </r>
  <r>
    <s v="June"/>
    <n v="6"/>
    <x v="1"/>
    <x v="0"/>
    <n v="7713630"/>
    <n v="1832250"/>
    <n v="5881380"/>
    <x v="1"/>
    <n v="0.23753407928562817"/>
    <d v="2024-06-16T00:00:00"/>
    <x v="1"/>
  </r>
  <r>
    <s v="June"/>
    <n v="6"/>
    <x v="1"/>
    <x v="0"/>
    <n v="10887632"/>
    <n v="3314932"/>
    <n v="7572700"/>
    <x v="22"/>
    <n v="0.30446767488100257"/>
    <d v="2024-06-12T00:00:00"/>
    <x v="1"/>
  </r>
  <r>
    <s v="June"/>
    <n v="6"/>
    <x v="1"/>
    <x v="1"/>
    <n v="10422659"/>
    <n v="8777125"/>
    <n v="1645534"/>
    <x v="19"/>
    <n v="0.84211955893404933"/>
    <d v="2024-06-15T00:00:00"/>
    <x v="1"/>
  </r>
  <r>
    <s v="June"/>
    <n v="6"/>
    <x v="1"/>
    <x v="0"/>
    <n v="5297234"/>
    <n v="3596622"/>
    <n v="1700612"/>
    <x v="23"/>
    <n v="0.67896226596748421"/>
    <d v="2025-06-30T00:00:00"/>
    <x v="0"/>
  </r>
  <r>
    <s v="July"/>
    <n v="7"/>
    <x v="2"/>
    <x v="0"/>
    <n v="7409657"/>
    <n v="6271336"/>
    <n v="1138321"/>
    <x v="3"/>
    <n v="0.84637332065438386"/>
    <d v="2024-07-15T00:00:00"/>
    <x v="1"/>
  </r>
  <r>
    <s v="July"/>
    <n v="7"/>
    <x v="2"/>
    <x v="1"/>
    <n v="6659621"/>
    <n v="5718412"/>
    <n v="941209"/>
    <x v="11"/>
    <n v="0.85866928463346492"/>
    <d v="2025-07-06T00:00:00"/>
    <x v="0"/>
  </r>
  <r>
    <s v="July"/>
    <n v="7"/>
    <x v="2"/>
    <x v="1"/>
    <n v="12433378"/>
    <n v="3398230"/>
    <n v="9035148"/>
    <x v="7"/>
    <n v="0.27331510390820579"/>
    <d v="2025-07-16T00:00:00"/>
    <x v="0"/>
  </r>
  <r>
    <s v="July"/>
    <n v="7"/>
    <x v="2"/>
    <x v="0"/>
    <n v="3115955"/>
    <n v="2888010"/>
    <n v="227945"/>
    <x v="16"/>
    <n v="0.92684586266489732"/>
    <d v="2025-07-28T00:00:00"/>
    <x v="0"/>
  </r>
  <r>
    <s v="July"/>
    <n v="7"/>
    <x v="2"/>
    <x v="1"/>
    <n v="13395142"/>
    <n v="3866714"/>
    <n v="9528428"/>
    <x v="8"/>
    <n v="0.28866539824661808"/>
    <d v="2025-07-05T00:00:00"/>
    <x v="0"/>
  </r>
  <r>
    <s v="July"/>
    <n v="7"/>
    <x v="2"/>
    <x v="1"/>
    <n v="9166769"/>
    <n v="7049977"/>
    <n v="2116792"/>
    <x v="12"/>
    <n v="0.76907981427261884"/>
    <d v="2024-07-22T00:00:00"/>
    <x v="1"/>
  </r>
  <r>
    <s v="July"/>
    <n v="7"/>
    <x v="2"/>
    <x v="0"/>
    <n v="5297234"/>
    <n v="3596622"/>
    <n v="1700612"/>
    <x v="23"/>
    <n v="0.67896226596748421"/>
    <d v="2025-07-12T00:00:00"/>
    <x v="0"/>
  </r>
  <r>
    <s v="July"/>
    <n v="7"/>
    <x v="2"/>
    <x v="1"/>
    <n v="8925622"/>
    <n v="7859625"/>
    <n v="1065997"/>
    <x v="20"/>
    <n v="0.88056888360273378"/>
    <d v="2025-07-12T00:00:00"/>
    <x v="0"/>
  </r>
  <r>
    <s v="July"/>
    <n v="7"/>
    <x v="2"/>
    <x v="1"/>
    <n v="6659621"/>
    <n v="5718412"/>
    <n v="941209"/>
    <x v="11"/>
    <n v="0.85866928463346492"/>
    <d v="2025-07-19T00:00:00"/>
    <x v="0"/>
  </r>
  <r>
    <s v="July"/>
    <n v="7"/>
    <x v="2"/>
    <x v="1"/>
    <n v="10655734"/>
    <n v="2408508"/>
    <n v="8247226"/>
    <x v="13"/>
    <n v="0.22602929089633805"/>
    <d v="2024-07-01T00:00:00"/>
    <x v="1"/>
  </r>
  <r>
    <s v="July"/>
    <n v="7"/>
    <x v="2"/>
    <x v="0"/>
    <n v="10887632"/>
    <n v="3314932"/>
    <n v="7572700"/>
    <x v="22"/>
    <n v="0.30446767488100257"/>
    <d v="2024-07-09T00:00:00"/>
    <x v="1"/>
  </r>
  <r>
    <s v="July"/>
    <n v="7"/>
    <x v="2"/>
    <x v="0"/>
    <n v="3115955"/>
    <n v="2888010"/>
    <n v="227945"/>
    <x v="16"/>
    <n v="0.92684586266489732"/>
    <d v="2024-07-01T00:00:00"/>
    <x v="1"/>
  </r>
  <r>
    <s v="July"/>
    <n v="7"/>
    <x v="2"/>
    <x v="1"/>
    <n v="10422659"/>
    <n v="8777125"/>
    <n v="1645534"/>
    <x v="19"/>
    <n v="0.84211955893404933"/>
    <d v="2024-07-05T00:00:00"/>
    <x v="1"/>
  </r>
  <r>
    <s v="July"/>
    <n v="7"/>
    <x v="2"/>
    <x v="1"/>
    <n v="17872796"/>
    <n v="4065021"/>
    <n v="13807775"/>
    <x v="15"/>
    <n v="0.22744180597148875"/>
    <d v="2025-07-28T00:00:00"/>
    <x v="0"/>
  </r>
  <r>
    <s v="July"/>
    <n v="7"/>
    <x v="2"/>
    <x v="1"/>
    <n v="13243123"/>
    <n v="5468428"/>
    <n v="7774695"/>
    <x v="21"/>
    <n v="0.41292586348401356"/>
    <d v="2025-07-21T00:00:00"/>
    <x v="0"/>
  </r>
  <r>
    <s v="July"/>
    <n v="7"/>
    <x v="2"/>
    <x v="1"/>
    <n v="13395811"/>
    <n v="8109917"/>
    <n v="5285894"/>
    <x v="9"/>
    <n v="0.60540694400660022"/>
    <d v="2025-07-03T00:00:00"/>
    <x v="0"/>
  </r>
  <r>
    <s v="July"/>
    <n v="7"/>
    <x v="2"/>
    <x v="0"/>
    <n v="10887632"/>
    <n v="3314932"/>
    <n v="7572700"/>
    <x v="22"/>
    <n v="0.30446767488100257"/>
    <d v="2024-07-24T00:00:00"/>
    <x v="1"/>
  </r>
  <r>
    <s v="July"/>
    <n v="7"/>
    <x v="2"/>
    <x v="1"/>
    <n v="17872796"/>
    <n v="4065021"/>
    <n v="13807775"/>
    <x v="15"/>
    <n v="0.22744180597148875"/>
    <d v="2025-07-24T00:00:00"/>
    <x v="0"/>
  </r>
  <r>
    <s v="July"/>
    <n v="7"/>
    <x v="2"/>
    <x v="0"/>
    <n v="2093322"/>
    <n v="846252"/>
    <n v="1247070"/>
    <x v="0"/>
    <n v="0.40426269823753824"/>
    <d v="2024-07-22T00:00:00"/>
    <x v="1"/>
  </r>
  <r>
    <s v="July"/>
    <n v="7"/>
    <x v="2"/>
    <x v="0"/>
    <n v="9869633"/>
    <n v="8708702"/>
    <n v="1160931"/>
    <x v="2"/>
    <n v="0.88237343779652189"/>
    <d v="2025-07-06T00:00:00"/>
    <x v="0"/>
  </r>
  <r>
    <s v="August"/>
    <n v="8"/>
    <x v="2"/>
    <x v="0"/>
    <n v="7684666"/>
    <n v="5053533"/>
    <n v="2631133"/>
    <x v="14"/>
    <n v="0.65761257548473806"/>
    <d v="2024-08-08T00:00:00"/>
    <x v="1"/>
  </r>
  <r>
    <s v="August"/>
    <n v="8"/>
    <x v="2"/>
    <x v="1"/>
    <n v="9166769"/>
    <n v="7049977"/>
    <n v="2116792"/>
    <x v="12"/>
    <n v="0.76907981427261884"/>
    <d v="2024-08-07T00:00:00"/>
    <x v="1"/>
  </r>
  <r>
    <s v="August"/>
    <n v="8"/>
    <x v="2"/>
    <x v="1"/>
    <n v="17772619"/>
    <n v="3751148"/>
    <n v="14021471"/>
    <x v="10"/>
    <n v="0.21106332161849642"/>
    <d v="2025-08-27T00:00:00"/>
    <x v="0"/>
  </r>
  <r>
    <s v="August"/>
    <n v="8"/>
    <x v="2"/>
    <x v="1"/>
    <n v="13243123"/>
    <n v="5468428"/>
    <n v="7774695"/>
    <x v="21"/>
    <n v="0.41292586348401356"/>
    <d v="2024-08-03T00:00:00"/>
    <x v="1"/>
  </r>
  <r>
    <s v="August"/>
    <n v="8"/>
    <x v="2"/>
    <x v="1"/>
    <n v="13395811"/>
    <n v="8109917"/>
    <n v="5285894"/>
    <x v="9"/>
    <n v="0.60540694400660022"/>
    <d v="2025-08-01T00:00:00"/>
    <x v="0"/>
  </r>
  <r>
    <s v="August"/>
    <n v="8"/>
    <x v="2"/>
    <x v="1"/>
    <n v="8925622"/>
    <n v="7859625"/>
    <n v="1065997"/>
    <x v="20"/>
    <n v="0.88056888360273378"/>
    <d v="2025-08-25T00:00:00"/>
    <x v="0"/>
  </r>
  <r>
    <s v="August"/>
    <n v="8"/>
    <x v="2"/>
    <x v="1"/>
    <n v="12433378"/>
    <n v="3398230"/>
    <n v="9035148"/>
    <x v="7"/>
    <n v="0.27331510390820579"/>
    <d v="2024-08-12T00:00:00"/>
    <x v="1"/>
  </r>
  <r>
    <s v="August"/>
    <n v="8"/>
    <x v="2"/>
    <x v="1"/>
    <n v="13395142"/>
    <n v="3866714"/>
    <n v="9528428"/>
    <x v="8"/>
    <n v="0.28866539824661808"/>
    <d v="2024-08-12T00:00:00"/>
    <x v="1"/>
  </r>
  <r>
    <s v="August"/>
    <n v="8"/>
    <x v="2"/>
    <x v="1"/>
    <n v="9166769"/>
    <n v="7049977"/>
    <n v="2116792"/>
    <x v="12"/>
    <n v="0.76907981427261884"/>
    <d v="2025-08-26T00:00:00"/>
    <x v="0"/>
  </r>
  <r>
    <s v="August"/>
    <n v="8"/>
    <x v="2"/>
    <x v="0"/>
    <n v="6629660"/>
    <n v="3523400"/>
    <n v="3106260"/>
    <x v="18"/>
    <n v="0.5314601352105538"/>
    <d v="2024-08-22T00:00:00"/>
    <x v="1"/>
  </r>
  <r>
    <s v="August"/>
    <n v="8"/>
    <x v="2"/>
    <x v="1"/>
    <n v="13395142"/>
    <n v="3866714"/>
    <n v="9528428"/>
    <x v="8"/>
    <n v="0.28866539824661808"/>
    <d v="2024-08-31T00:00:00"/>
    <x v="1"/>
  </r>
  <r>
    <s v="August"/>
    <n v="8"/>
    <x v="2"/>
    <x v="0"/>
    <n v="10887632"/>
    <n v="3314932"/>
    <n v="7572700"/>
    <x v="22"/>
    <n v="0.30446767488100257"/>
    <d v="2024-08-21T00:00:00"/>
    <x v="1"/>
  </r>
  <r>
    <s v="August"/>
    <n v="8"/>
    <x v="2"/>
    <x v="1"/>
    <n v="13243123"/>
    <n v="5468428"/>
    <n v="7774695"/>
    <x v="21"/>
    <n v="0.41292586348401356"/>
    <d v="2025-08-03T00:00:00"/>
    <x v="0"/>
  </r>
  <r>
    <s v="August"/>
    <n v="8"/>
    <x v="2"/>
    <x v="1"/>
    <n v="9166769"/>
    <n v="7049977"/>
    <n v="2116792"/>
    <x v="12"/>
    <n v="0.76907981427261884"/>
    <d v="2024-08-16T00:00:00"/>
    <x v="1"/>
  </r>
  <r>
    <s v="August"/>
    <n v="8"/>
    <x v="2"/>
    <x v="1"/>
    <n v="9166769"/>
    <n v="7049977"/>
    <n v="2116792"/>
    <x v="12"/>
    <n v="0.76907981427261884"/>
    <d v="2024-08-18T00:00:00"/>
    <x v="1"/>
  </r>
  <r>
    <s v="August"/>
    <n v="8"/>
    <x v="2"/>
    <x v="1"/>
    <n v="17772619"/>
    <n v="3751148"/>
    <n v="14021471"/>
    <x v="10"/>
    <n v="0.21106332161849642"/>
    <d v="2024-08-23T00:00:00"/>
    <x v="1"/>
  </r>
  <r>
    <s v="August"/>
    <n v="8"/>
    <x v="2"/>
    <x v="1"/>
    <n v="17772619"/>
    <n v="3751148"/>
    <n v="14021471"/>
    <x v="10"/>
    <n v="0.21106332161849642"/>
    <d v="2025-08-14T00:00:00"/>
    <x v="0"/>
  </r>
  <r>
    <s v="August"/>
    <n v="8"/>
    <x v="2"/>
    <x v="1"/>
    <n v="9166769"/>
    <n v="7049977"/>
    <n v="2116792"/>
    <x v="12"/>
    <n v="0.76907981427261884"/>
    <d v="2025-08-20T00:00:00"/>
    <x v="0"/>
  </r>
  <r>
    <s v="August"/>
    <n v="8"/>
    <x v="2"/>
    <x v="1"/>
    <n v="10422659"/>
    <n v="8777125"/>
    <n v="1645534"/>
    <x v="19"/>
    <n v="0.84211955893404933"/>
    <d v="2024-08-13T00:00:00"/>
    <x v="1"/>
  </r>
  <r>
    <s v="August"/>
    <n v="8"/>
    <x v="2"/>
    <x v="0"/>
    <n v="6629660"/>
    <n v="3523400"/>
    <n v="3106260"/>
    <x v="18"/>
    <n v="0.5314601352105538"/>
    <d v="2025-08-03T00:00:00"/>
    <x v="0"/>
  </r>
  <r>
    <s v="August"/>
    <n v="8"/>
    <x v="2"/>
    <x v="0"/>
    <n v="7409657"/>
    <n v="6271336"/>
    <n v="1138321"/>
    <x v="3"/>
    <n v="0.84637332065438386"/>
    <d v="2025-08-03T00:00:00"/>
    <x v="0"/>
  </r>
  <r>
    <s v="August"/>
    <n v="8"/>
    <x v="2"/>
    <x v="0"/>
    <n v="6641746"/>
    <n v="2466037"/>
    <n v="4175709"/>
    <x v="5"/>
    <n v="0.37129348216568353"/>
    <d v="2024-08-26T00:00:00"/>
    <x v="1"/>
  </r>
  <r>
    <s v="August"/>
    <n v="8"/>
    <x v="2"/>
    <x v="0"/>
    <n v="5297234"/>
    <n v="3596622"/>
    <n v="1700612"/>
    <x v="23"/>
    <n v="0.67896226596748421"/>
    <d v="2024-08-11T00:00:00"/>
    <x v="1"/>
  </r>
  <r>
    <s v="August"/>
    <n v="8"/>
    <x v="2"/>
    <x v="1"/>
    <n v="12433378"/>
    <n v="3398230"/>
    <n v="9035148"/>
    <x v="7"/>
    <n v="0.27331510390820579"/>
    <d v="2025-08-07T00:00:00"/>
    <x v="0"/>
  </r>
  <r>
    <s v="August"/>
    <n v="8"/>
    <x v="2"/>
    <x v="0"/>
    <n v="10887632"/>
    <n v="3314932"/>
    <n v="7572700"/>
    <x v="22"/>
    <n v="0.30446767488100257"/>
    <d v="2025-08-10T00:00:00"/>
    <x v="0"/>
  </r>
  <r>
    <s v="August"/>
    <n v="8"/>
    <x v="2"/>
    <x v="0"/>
    <n v="10887632"/>
    <n v="3314932"/>
    <n v="7572700"/>
    <x v="22"/>
    <n v="0.30446767488100257"/>
    <d v="2024-08-26T00:00:00"/>
    <x v="1"/>
  </r>
  <r>
    <s v="August"/>
    <n v="8"/>
    <x v="2"/>
    <x v="0"/>
    <n v="7409657"/>
    <n v="6271336"/>
    <n v="1138321"/>
    <x v="3"/>
    <n v="0.84637332065438386"/>
    <d v="2025-08-25T00:00:00"/>
    <x v="0"/>
  </r>
  <r>
    <s v="August"/>
    <n v="8"/>
    <x v="2"/>
    <x v="1"/>
    <n v="10422659"/>
    <n v="8777125"/>
    <n v="1645534"/>
    <x v="19"/>
    <n v="0.84211955893404933"/>
    <d v="2025-08-21T00:00:00"/>
    <x v="0"/>
  </r>
  <r>
    <s v="August"/>
    <n v="8"/>
    <x v="2"/>
    <x v="1"/>
    <n v="9166769"/>
    <n v="7049977"/>
    <n v="2116792"/>
    <x v="12"/>
    <n v="0.76907981427261884"/>
    <d v="2024-08-22T00:00:00"/>
    <x v="1"/>
  </r>
  <r>
    <s v="August"/>
    <n v="8"/>
    <x v="2"/>
    <x v="0"/>
    <n v="6629660"/>
    <n v="3523400"/>
    <n v="3106260"/>
    <x v="18"/>
    <n v="0.5314601352105538"/>
    <d v="2025-08-09T00:00:00"/>
    <x v="0"/>
  </r>
  <r>
    <s v="August"/>
    <n v="8"/>
    <x v="2"/>
    <x v="0"/>
    <n v="9814492"/>
    <n v="5074629"/>
    <n v="4739863"/>
    <x v="17"/>
    <n v="0.51705467791914239"/>
    <d v="2024-08-06T00:00:00"/>
    <x v="1"/>
  </r>
  <r>
    <s v="August"/>
    <n v="8"/>
    <x v="2"/>
    <x v="0"/>
    <n v="9814492"/>
    <n v="5074629"/>
    <n v="4739863"/>
    <x v="17"/>
    <n v="0.51705467791914239"/>
    <d v="2024-08-13T00:00:00"/>
    <x v="1"/>
  </r>
  <r>
    <s v="August"/>
    <n v="8"/>
    <x v="2"/>
    <x v="1"/>
    <n v="8925622"/>
    <n v="7859625"/>
    <n v="1065997"/>
    <x v="20"/>
    <n v="0.88056888360273378"/>
    <d v="2025-08-13T00:00:00"/>
    <x v="0"/>
  </r>
  <r>
    <s v="September"/>
    <n v="9"/>
    <x v="2"/>
    <x v="0"/>
    <n v="9814492"/>
    <n v="5074629"/>
    <n v="4739863"/>
    <x v="17"/>
    <n v="0.51705467791914239"/>
    <d v="2025-09-15T00:00:00"/>
    <x v="0"/>
  </r>
  <r>
    <s v="September"/>
    <n v="9"/>
    <x v="2"/>
    <x v="0"/>
    <n v="9814492"/>
    <n v="5074629"/>
    <n v="4739863"/>
    <x v="17"/>
    <n v="0.51705467791914239"/>
    <d v="2025-09-03T00:00:00"/>
    <x v="0"/>
  </r>
  <r>
    <s v="September"/>
    <n v="9"/>
    <x v="2"/>
    <x v="0"/>
    <n v="10932582"/>
    <n v="9516586"/>
    <n v="1415996"/>
    <x v="4"/>
    <n v="0.87047927013033155"/>
    <d v="2024-09-27T00:00:00"/>
    <x v="1"/>
  </r>
  <r>
    <s v="September"/>
    <n v="9"/>
    <x v="2"/>
    <x v="0"/>
    <n v="6629660"/>
    <n v="3523400"/>
    <n v="3106260"/>
    <x v="18"/>
    <n v="0.5314601352105538"/>
    <d v="2024-09-26T00:00:00"/>
    <x v="1"/>
  </r>
  <r>
    <s v="September"/>
    <n v="9"/>
    <x v="2"/>
    <x v="0"/>
    <n v="3115955"/>
    <n v="2888010"/>
    <n v="227945"/>
    <x v="16"/>
    <n v="0.92684586266489732"/>
    <d v="2024-09-03T00:00:00"/>
    <x v="1"/>
  </r>
  <r>
    <s v="September"/>
    <n v="9"/>
    <x v="2"/>
    <x v="0"/>
    <n v="10932582"/>
    <n v="9516586"/>
    <n v="1415996"/>
    <x v="4"/>
    <n v="0.87047927013033155"/>
    <d v="2024-09-09T00:00:00"/>
    <x v="1"/>
  </r>
  <r>
    <s v="September"/>
    <n v="9"/>
    <x v="2"/>
    <x v="0"/>
    <n v="10887632"/>
    <n v="3314932"/>
    <n v="7572700"/>
    <x v="22"/>
    <n v="0.30446767488100257"/>
    <d v="2025-09-02T00:00:00"/>
    <x v="0"/>
  </r>
  <r>
    <s v="September"/>
    <n v="9"/>
    <x v="2"/>
    <x v="1"/>
    <n v="13243123"/>
    <n v="5468428"/>
    <n v="7774695"/>
    <x v="21"/>
    <n v="0.41292586348401356"/>
    <d v="2024-09-30T00:00:00"/>
    <x v="1"/>
  </r>
  <r>
    <s v="September"/>
    <n v="9"/>
    <x v="2"/>
    <x v="0"/>
    <n v="2093322"/>
    <n v="846252"/>
    <n v="1247070"/>
    <x v="0"/>
    <n v="0.40426269823753824"/>
    <d v="2025-09-10T00:00:00"/>
    <x v="0"/>
  </r>
  <r>
    <s v="September"/>
    <n v="9"/>
    <x v="2"/>
    <x v="0"/>
    <n v="7409657"/>
    <n v="6271336"/>
    <n v="1138321"/>
    <x v="3"/>
    <n v="0.84637332065438386"/>
    <d v="2025-09-13T00:00:00"/>
    <x v="0"/>
  </r>
  <r>
    <s v="September"/>
    <n v="9"/>
    <x v="2"/>
    <x v="1"/>
    <n v="17872796"/>
    <n v="4065021"/>
    <n v="13807775"/>
    <x v="15"/>
    <n v="0.22744180597148875"/>
    <d v="2025-09-04T00:00:00"/>
    <x v="0"/>
  </r>
  <r>
    <s v="September"/>
    <n v="9"/>
    <x v="2"/>
    <x v="0"/>
    <n v="7409657"/>
    <n v="6271336"/>
    <n v="1138321"/>
    <x v="3"/>
    <n v="0.84637332065438386"/>
    <d v="2025-09-05T00:00:00"/>
    <x v="0"/>
  </r>
  <r>
    <s v="September"/>
    <n v="9"/>
    <x v="2"/>
    <x v="1"/>
    <n v="13243123"/>
    <n v="5468428"/>
    <n v="7774695"/>
    <x v="21"/>
    <n v="0.41292586348401356"/>
    <d v="2024-09-28T00:00:00"/>
    <x v="1"/>
  </r>
  <r>
    <s v="September"/>
    <n v="9"/>
    <x v="2"/>
    <x v="1"/>
    <n v="13395811"/>
    <n v="8109917"/>
    <n v="5285894"/>
    <x v="9"/>
    <n v="0.60540694400660022"/>
    <d v="2024-09-26T00:00:00"/>
    <x v="1"/>
  </r>
  <r>
    <s v="September"/>
    <n v="9"/>
    <x v="2"/>
    <x v="1"/>
    <n v="8925622"/>
    <n v="7859625"/>
    <n v="1065997"/>
    <x v="20"/>
    <n v="0.88056888360273378"/>
    <d v="2025-09-25T00:00:00"/>
    <x v="0"/>
  </r>
  <r>
    <s v="September"/>
    <n v="9"/>
    <x v="2"/>
    <x v="1"/>
    <n v="10422659"/>
    <n v="8777125"/>
    <n v="1645534"/>
    <x v="19"/>
    <n v="0.84211955893404933"/>
    <d v="2024-09-14T00:00:00"/>
    <x v="1"/>
  </r>
  <r>
    <s v="September"/>
    <n v="9"/>
    <x v="2"/>
    <x v="1"/>
    <n v="12433378"/>
    <n v="3398230"/>
    <n v="9035148"/>
    <x v="7"/>
    <n v="0.27331510390820579"/>
    <d v="2024-09-30T00:00:00"/>
    <x v="1"/>
  </r>
  <r>
    <s v="September"/>
    <n v="9"/>
    <x v="2"/>
    <x v="0"/>
    <n v="3115955"/>
    <n v="2888010"/>
    <n v="227945"/>
    <x v="16"/>
    <n v="0.92684586266489732"/>
    <d v="2024-09-28T00:00:00"/>
    <x v="1"/>
  </r>
  <r>
    <s v="September"/>
    <n v="9"/>
    <x v="2"/>
    <x v="1"/>
    <n v="17872796"/>
    <n v="4065021"/>
    <n v="13807775"/>
    <x v="15"/>
    <n v="0.22744180597148875"/>
    <d v="2025-09-02T00:00:00"/>
    <x v="0"/>
  </r>
  <r>
    <s v="September"/>
    <n v="9"/>
    <x v="2"/>
    <x v="1"/>
    <n v="9406634"/>
    <n v="1310092"/>
    <n v="8096542"/>
    <x v="6"/>
    <n v="0.13927319804299818"/>
    <d v="2024-09-10T00:00:00"/>
    <x v="1"/>
  </r>
  <r>
    <s v="September"/>
    <n v="9"/>
    <x v="2"/>
    <x v="1"/>
    <n v="9406634"/>
    <n v="1310092"/>
    <n v="8096542"/>
    <x v="6"/>
    <n v="0.13927319804299818"/>
    <d v="2025-09-15T00:00:00"/>
    <x v="0"/>
  </r>
  <r>
    <s v="October"/>
    <n v="10"/>
    <x v="3"/>
    <x v="1"/>
    <n v="10655734"/>
    <n v="2408508"/>
    <n v="8247226"/>
    <x v="13"/>
    <n v="0.22602929089633805"/>
    <d v="2024-10-27T00:00:00"/>
    <x v="1"/>
  </r>
  <r>
    <s v="October"/>
    <n v="10"/>
    <x v="3"/>
    <x v="0"/>
    <n v="5297234"/>
    <n v="3596622"/>
    <n v="1700612"/>
    <x v="23"/>
    <n v="0.67896226596748421"/>
    <d v="2025-10-04T00:00:00"/>
    <x v="0"/>
  </r>
  <r>
    <s v="October"/>
    <n v="10"/>
    <x v="3"/>
    <x v="1"/>
    <n v="17772619"/>
    <n v="3751148"/>
    <n v="14021471"/>
    <x v="10"/>
    <n v="0.21106332161849642"/>
    <d v="2025-10-18T00:00:00"/>
    <x v="0"/>
  </r>
  <r>
    <s v="October"/>
    <n v="10"/>
    <x v="3"/>
    <x v="0"/>
    <n v="7713630"/>
    <n v="1832250"/>
    <n v="5881380"/>
    <x v="1"/>
    <n v="0.23753407928562817"/>
    <d v="2024-10-11T00:00:00"/>
    <x v="1"/>
  </r>
  <r>
    <s v="October"/>
    <n v="10"/>
    <x v="3"/>
    <x v="1"/>
    <n v="13395811"/>
    <n v="8109917"/>
    <n v="5285894"/>
    <x v="9"/>
    <n v="0.60540694400660022"/>
    <d v="2025-10-16T00:00:00"/>
    <x v="0"/>
  </r>
  <r>
    <s v="October"/>
    <n v="10"/>
    <x v="3"/>
    <x v="0"/>
    <n v="10932582"/>
    <n v="9516586"/>
    <n v="1415996"/>
    <x v="4"/>
    <n v="0.87047927013033155"/>
    <d v="2025-10-27T00:00:00"/>
    <x v="0"/>
  </r>
  <r>
    <s v="October"/>
    <n v="10"/>
    <x v="3"/>
    <x v="1"/>
    <n v="17872796"/>
    <n v="4065021"/>
    <n v="13807775"/>
    <x v="15"/>
    <n v="0.22744180597148875"/>
    <d v="2025-10-16T00:00:00"/>
    <x v="0"/>
  </r>
  <r>
    <s v="October"/>
    <n v="10"/>
    <x v="3"/>
    <x v="1"/>
    <n v="8925622"/>
    <n v="7859625"/>
    <n v="1065997"/>
    <x v="20"/>
    <n v="0.88056888360273378"/>
    <d v="2024-10-01T00:00:00"/>
    <x v="1"/>
  </r>
  <r>
    <s v="October"/>
    <n v="10"/>
    <x v="3"/>
    <x v="0"/>
    <n v="2093322"/>
    <n v="846252"/>
    <n v="1247070"/>
    <x v="0"/>
    <n v="0.40426269823753824"/>
    <d v="2025-10-27T00:00:00"/>
    <x v="0"/>
  </r>
  <r>
    <s v="October"/>
    <n v="10"/>
    <x v="3"/>
    <x v="0"/>
    <n v="7684666"/>
    <n v="5053533"/>
    <n v="2631133"/>
    <x v="14"/>
    <n v="0.65761257548473806"/>
    <d v="2024-10-27T00:00:00"/>
    <x v="1"/>
  </r>
  <r>
    <s v="October"/>
    <n v="10"/>
    <x v="3"/>
    <x v="0"/>
    <n v="7409657"/>
    <n v="6271336"/>
    <n v="1138321"/>
    <x v="3"/>
    <n v="0.84637332065438386"/>
    <d v="2024-10-11T00:00:00"/>
    <x v="1"/>
  </r>
  <r>
    <s v="October"/>
    <n v="10"/>
    <x v="3"/>
    <x v="1"/>
    <n v="13395142"/>
    <n v="3866714"/>
    <n v="9528428"/>
    <x v="8"/>
    <n v="0.28866539824661808"/>
    <d v="2025-10-12T00:00:00"/>
    <x v="0"/>
  </r>
  <r>
    <s v="October"/>
    <n v="10"/>
    <x v="3"/>
    <x v="0"/>
    <n v="10932582"/>
    <n v="9516586"/>
    <n v="1415996"/>
    <x v="4"/>
    <n v="0.87047927013033155"/>
    <d v="2024-10-11T00:00:00"/>
    <x v="1"/>
  </r>
  <r>
    <s v="October"/>
    <n v="10"/>
    <x v="3"/>
    <x v="0"/>
    <n v="2093322"/>
    <n v="846252"/>
    <n v="1247070"/>
    <x v="0"/>
    <n v="0.40426269823753824"/>
    <d v="2025-10-17T00:00:00"/>
    <x v="0"/>
  </r>
  <r>
    <s v="October"/>
    <n v="10"/>
    <x v="3"/>
    <x v="0"/>
    <n v="6641746"/>
    <n v="2466037"/>
    <n v="4175709"/>
    <x v="5"/>
    <n v="0.37129348216568353"/>
    <d v="2024-10-03T00:00:00"/>
    <x v="1"/>
  </r>
  <r>
    <s v="October"/>
    <n v="10"/>
    <x v="3"/>
    <x v="0"/>
    <n v="7713630"/>
    <n v="1832250"/>
    <n v="5881380"/>
    <x v="1"/>
    <n v="0.23753407928562817"/>
    <d v="2025-10-20T00:00:00"/>
    <x v="0"/>
  </r>
  <r>
    <s v="October"/>
    <n v="10"/>
    <x v="3"/>
    <x v="1"/>
    <n v="10422659"/>
    <n v="8777125"/>
    <n v="1645534"/>
    <x v="19"/>
    <n v="0.84211955893404933"/>
    <d v="2024-10-08T00:00:00"/>
    <x v="1"/>
  </r>
  <r>
    <s v="October"/>
    <n v="10"/>
    <x v="3"/>
    <x v="0"/>
    <n v="7713630"/>
    <n v="1832250"/>
    <n v="5881380"/>
    <x v="1"/>
    <n v="0.23753407928562817"/>
    <d v="2024-10-23T00:00:00"/>
    <x v="1"/>
  </r>
  <r>
    <s v="October"/>
    <n v="10"/>
    <x v="3"/>
    <x v="1"/>
    <n v="17772619"/>
    <n v="3751148"/>
    <n v="14021471"/>
    <x v="10"/>
    <n v="0.21106332161849642"/>
    <d v="2025-10-25T00:00:00"/>
    <x v="0"/>
  </r>
  <r>
    <s v="November"/>
    <n v="11"/>
    <x v="3"/>
    <x v="0"/>
    <n v="7713630"/>
    <n v="1832250"/>
    <n v="5881380"/>
    <x v="1"/>
    <n v="0.23753407928562817"/>
    <d v="2025-11-27T00:00:00"/>
    <x v="0"/>
  </r>
  <r>
    <s v="November"/>
    <n v="11"/>
    <x v="3"/>
    <x v="1"/>
    <n v="6659621"/>
    <n v="5718412"/>
    <n v="941209"/>
    <x v="11"/>
    <n v="0.85866928463346492"/>
    <d v="2025-11-06T00:00:00"/>
    <x v="0"/>
  </r>
  <r>
    <s v="November"/>
    <n v="11"/>
    <x v="3"/>
    <x v="1"/>
    <n v="6659621"/>
    <n v="5718412"/>
    <n v="941209"/>
    <x v="11"/>
    <n v="0.85866928463346492"/>
    <d v="2025-11-27T00:00:00"/>
    <x v="0"/>
  </r>
  <r>
    <s v="November"/>
    <n v="11"/>
    <x v="3"/>
    <x v="0"/>
    <n v="6629660"/>
    <n v="3523400"/>
    <n v="3106260"/>
    <x v="18"/>
    <n v="0.5314601352105538"/>
    <d v="2024-11-15T00:00:00"/>
    <x v="1"/>
  </r>
  <r>
    <s v="November"/>
    <n v="11"/>
    <x v="3"/>
    <x v="0"/>
    <n v="9814492"/>
    <n v="5074629"/>
    <n v="4739863"/>
    <x v="17"/>
    <n v="0.51705467791914239"/>
    <d v="2024-11-18T00:00:00"/>
    <x v="1"/>
  </r>
  <r>
    <s v="November"/>
    <n v="11"/>
    <x v="3"/>
    <x v="0"/>
    <n v="5297234"/>
    <n v="3596622"/>
    <n v="1700612"/>
    <x v="23"/>
    <n v="0.67896226596748421"/>
    <d v="2025-11-08T00:00:00"/>
    <x v="0"/>
  </r>
  <r>
    <s v="November"/>
    <n v="11"/>
    <x v="3"/>
    <x v="1"/>
    <n v="10655734"/>
    <n v="2408508"/>
    <n v="8247226"/>
    <x v="13"/>
    <n v="0.22602929089633805"/>
    <d v="2025-11-17T00:00:00"/>
    <x v="0"/>
  </r>
  <r>
    <s v="November"/>
    <n v="11"/>
    <x v="3"/>
    <x v="1"/>
    <n v="6659621"/>
    <n v="5718412"/>
    <n v="941209"/>
    <x v="11"/>
    <n v="0.85866928463346492"/>
    <d v="2024-11-10T00:00:00"/>
    <x v="1"/>
  </r>
  <r>
    <s v="November"/>
    <n v="11"/>
    <x v="3"/>
    <x v="1"/>
    <n v="12433378"/>
    <n v="3398230"/>
    <n v="9035148"/>
    <x v="7"/>
    <n v="0.27331510390820579"/>
    <d v="2025-11-23T00:00:00"/>
    <x v="0"/>
  </r>
  <r>
    <s v="November"/>
    <n v="11"/>
    <x v="3"/>
    <x v="0"/>
    <n v="3115955"/>
    <n v="2888010"/>
    <n v="227945"/>
    <x v="16"/>
    <n v="0.92684586266489732"/>
    <d v="2025-11-18T00:00:00"/>
    <x v="0"/>
  </r>
  <r>
    <s v="November"/>
    <n v="11"/>
    <x v="3"/>
    <x v="1"/>
    <n v="10422659"/>
    <n v="8777125"/>
    <n v="1645534"/>
    <x v="19"/>
    <n v="0.84211955893404933"/>
    <d v="2025-11-16T00:00:00"/>
    <x v="0"/>
  </r>
  <r>
    <s v="November"/>
    <n v="11"/>
    <x v="3"/>
    <x v="1"/>
    <n v="13243123"/>
    <n v="5468428"/>
    <n v="7774695"/>
    <x v="21"/>
    <n v="0.41292586348401356"/>
    <d v="2025-11-30T00:00:00"/>
    <x v="0"/>
  </r>
  <r>
    <s v="November"/>
    <n v="11"/>
    <x v="3"/>
    <x v="1"/>
    <n v="10422659"/>
    <n v="8777125"/>
    <n v="1645534"/>
    <x v="19"/>
    <n v="0.84211955893404933"/>
    <d v="2024-11-28T00:00:00"/>
    <x v="1"/>
  </r>
  <r>
    <s v="November"/>
    <n v="11"/>
    <x v="3"/>
    <x v="0"/>
    <n v="9814492"/>
    <n v="5074629"/>
    <n v="4739863"/>
    <x v="17"/>
    <n v="0.51705467791914239"/>
    <d v="2024-11-27T00:00:00"/>
    <x v="1"/>
  </r>
  <r>
    <s v="November"/>
    <n v="11"/>
    <x v="3"/>
    <x v="1"/>
    <n v="12433378"/>
    <n v="3398230"/>
    <n v="9035148"/>
    <x v="7"/>
    <n v="0.27331510390820579"/>
    <d v="2025-11-29T00:00:00"/>
    <x v="0"/>
  </r>
  <r>
    <s v="November"/>
    <n v="11"/>
    <x v="3"/>
    <x v="1"/>
    <n v="10655734"/>
    <n v="2408508"/>
    <n v="8247226"/>
    <x v="13"/>
    <n v="0.22602929089633805"/>
    <d v="2024-11-19T00:00:00"/>
    <x v="1"/>
  </r>
  <r>
    <s v="December"/>
    <n v="12"/>
    <x v="3"/>
    <x v="1"/>
    <n v="8925622"/>
    <n v="7859625"/>
    <n v="1065997"/>
    <x v="20"/>
    <n v="0.88056888360273378"/>
    <d v="2025-12-19T00:00:00"/>
    <x v="0"/>
  </r>
  <r>
    <s v="December"/>
    <n v="12"/>
    <x v="3"/>
    <x v="0"/>
    <n v="5297234"/>
    <n v="3596622"/>
    <n v="1700612"/>
    <x v="23"/>
    <n v="0.67896226596748421"/>
    <d v="2025-12-25T00:00:00"/>
    <x v="0"/>
  </r>
  <r>
    <s v="December"/>
    <n v="12"/>
    <x v="3"/>
    <x v="1"/>
    <n v="9166769"/>
    <n v="7049977"/>
    <n v="2116792"/>
    <x v="12"/>
    <n v="0.76907981427261884"/>
    <d v="2024-12-29T00:00:00"/>
    <x v="1"/>
  </r>
  <r>
    <s v="December"/>
    <n v="12"/>
    <x v="3"/>
    <x v="1"/>
    <n v="9406634"/>
    <n v="1310092"/>
    <n v="8096542"/>
    <x v="6"/>
    <n v="0.13927319804299818"/>
    <d v="2025-12-05T00:00:00"/>
    <x v="0"/>
  </r>
  <r>
    <s v="December"/>
    <n v="12"/>
    <x v="3"/>
    <x v="1"/>
    <n v="10655734"/>
    <n v="2408508"/>
    <n v="8247226"/>
    <x v="13"/>
    <n v="0.22602929089633805"/>
    <d v="2024-12-12T00:00:00"/>
    <x v="1"/>
  </r>
  <r>
    <s v="December"/>
    <n v="12"/>
    <x v="3"/>
    <x v="1"/>
    <n v="17772619"/>
    <n v="3751148"/>
    <n v="14021471"/>
    <x v="10"/>
    <n v="0.21106332161849642"/>
    <d v="2024-12-14T00:00:00"/>
    <x v="1"/>
  </r>
  <r>
    <s v="December"/>
    <n v="12"/>
    <x v="3"/>
    <x v="1"/>
    <n v="13395811"/>
    <n v="8109917"/>
    <n v="5285894"/>
    <x v="9"/>
    <n v="0.60540694400660022"/>
    <d v="2025-12-02T00:00:00"/>
    <x v="0"/>
  </r>
  <r>
    <s v="December"/>
    <n v="12"/>
    <x v="3"/>
    <x v="0"/>
    <n v="10932582"/>
    <n v="9516586"/>
    <n v="1415996"/>
    <x v="4"/>
    <n v="0.87047927013033155"/>
    <d v="2025-12-05T00:00:00"/>
    <x v="0"/>
  </r>
  <r>
    <s v="December"/>
    <n v="12"/>
    <x v="3"/>
    <x v="1"/>
    <n v="13395811"/>
    <n v="8109917"/>
    <n v="5285894"/>
    <x v="9"/>
    <n v="0.60540694400660022"/>
    <d v="2024-12-10T00:00:00"/>
    <x v="1"/>
  </r>
  <r>
    <s v="December"/>
    <n v="12"/>
    <x v="3"/>
    <x v="0"/>
    <n v="3115955"/>
    <n v="2888010"/>
    <n v="227945"/>
    <x v="16"/>
    <n v="0.92684586266489732"/>
    <d v="2024-12-18T00:00:00"/>
    <x v="1"/>
  </r>
  <r>
    <s v="December"/>
    <n v="12"/>
    <x v="3"/>
    <x v="1"/>
    <n v="13395142"/>
    <n v="3866714"/>
    <n v="9528428"/>
    <x v="8"/>
    <n v="0.28866539824661808"/>
    <d v="2025-12-05T00:00:00"/>
    <x v="0"/>
  </r>
  <r>
    <s v="December"/>
    <n v="12"/>
    <x v="3"/>
    <x v="0"/>
    <n v="2093322"/>
    <n v="846252"/>
    <n v="1247070"/>
    <x v="0"/>
    <n v="0.40426269823753824"/>
    <d v="2024-12-04T00:00:00"/>
    <x v="1"/>
  </r>
  <r>
    <s v="December"/>
    <n v="12"/>
    <x v="3"/>
    <x v="1"/>
    <n v="13395142"/>
    <n v="3866714"/>
    <n v="9528428"/>
    <x v="8"/>
    <n v="0.28866539824661808"/>
    <d v="2025-12-07T00:00:00"/>
    <x v="0"/>
  </r>
  <r>
    <s v="December"/>
    <n v="12"/>
    <x v="3"/>
    <x v="1"/>
    <n v="8925622"/>
    <n v="7859625"/>
    <n v="1065997"/>
    <x v="20"/>
    <n v="0.88056888360273378"/>
    <d v="2025-12-15T00:00:00"/>
    <x v="0"/>
  </r>
  <r>
    <s v="December"/>
    <n v="12"/>
    <x v="3"/>
    <x v="1"/>
    <n v="17872796"/>
    <n v="4065021"/>
    <n v="13807775"/>
    <x v="15"/>
    <n v="0.22744180597148875"/>
    <d v="2025-12-19T00:00:00"/>
    <x v="0"/>
  </r>
  <r>
    <s v="December"/>
    <n v="12"/>
    <x v="3"/>
    <x v="0"/>
    <n v="9869633"/>
    <n v="8708702"/>
    <n v="1160931"/>
    <x v="2"/>
    <n v="0.88237343779652189"/>
    <d v="2024-12-10T00:00:00"/>
    <x v="1"/>
  </r>
  <r>
    <s v="December"/>
    <n v="12"/>
    <x v="3"/>
    <x v="0"/>
    <n v="7684666"/>
    <n v="5053533"/>
    <n v="2631133"/>
    <x v="14"/>
    <n v="0.65761257548473806"/>
    <d v="2025-12-10T00:00:00"/>
    <x v="0"/>
  </r>
  <r>
    <s v="December"/>
    <n v="12"/>
    <x v="3"/>
    <x v="0"/>
    <n v="7713630"/>
    <n v="1832250"/>
    <n v="5881380"/>
    <x v="1"/>
    <n v="0.23753407928562817"/>
    <d v="2025-12-31T00:00:00"/>
    <x v="0"/>
  </r>
  <r>
    <s v="December"/>
    <n v="12"/>
    <x v="3"/>
    <x v="0"/>
    <n v="9814492"/>
    <n v="5074629"/>
    <n v="4739863"/>
    <x v="17"/>
    <n v="0.51705467791914239"/>
    <d v="2025-12-22T00:00: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666C54F-9EA9-4774-B93B-B8F04E6833BE}" name="monthly revenue trend" cacheId="2"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A3:D17" firstHeaderRow="1" firstDataRow="2" firstDataCol="1"/>
  <pivotFields count="11">
    <pivotField axis="axisRow" showAll="0">
      <items count="13">
        <item x="0"/>
        <item x="1"/>
        <item x="2"/>
        <item x="3"/>
        <item x="4"/>
        <item x="5"/>
        <item x="6"/>
        <item x="7"/>
        <item x="8"/>
        <item x="9"/>
        <item x="10"/>
        <item x="11"/>
        <item t="default"/>
      </items>
    </pivotField>
    <pivotField showAll="0"/>
    <pivotField showAll="0"/>
    <pivotField showAll="0">
      <items count="3">
        <item x="0"/>
        <item x="1"/>
        <item t="default"/>
      </items>
    </pivotField>
    <pivotField dataField="1" numFmtId="164" showAll="0"/>
    <pivotField numFmtId="164" showAll="0"/>
    <pivotField numFmtId="164" showAll="0"/>
    <pivotField numFmtId="10" showAll="0"/>
    <pivotField numFmtId="10" showAll="0"/>
    <pivotField showAll="0"/>
    <pivotField axis="axisCol" showAll="0">
      <items count="3">
        <item x="1"/>
        <item x="0"/>
        <item t="default"/>
      </items>
    </pivotField>
  </pivotFields>
  <rowFields count="1">
    <field x="0"/>
  </rowFields>
  <rowItems count="13">
    <i>
      <x/>
    </i>
    <i>
      <x v="1"/>
    </i>
    <i>
      <x v="2"/>
    </i>
    <i>
      <x v="3"/>
    </i>
    <i>
      <x v="4"/>
    </i>
    <i>
      <x v="5"/>
    </i>
    <i>
      <x v="6"/>
    </i>
    <i>
      <x v="7"/>
    </i>
    <i>
      <x v="8"/>
    </i>
    <i>
      <x v="9"/>
    </i>
    <i>
      <x v="10"/>
    </i>
    <i>
      <x v="11"/>
    </i>
    <i t="grand">
      <x/>
    </i>
  </rowItems>
  <colFields count="1">
    <field x="10"/>
  </colFields>
  <colItems count="3">
    <i>
      <x/>
    </i>
    <i>
      <x v="1"/>
    </i>
    <i t="grand">
      <x/>
    </i>
  </colItems>
  <dataFields count="1">
    <dataField name="Sum of Revenue" fld="4" baseField="0" baseItem="2" numFmtId="166"/>
  </dataFields>
  <chartFormats count="14">
    <chartFormat chart="8" format="4" series="1">
      <pivotArea type="data" outline="0" fieldPosition="0">
        <references count="2">
          <reference field="4294967294" count="1" selected="0">
            <x v="0"/>
          </reference>
          <reference field="10" count="1" selected="0">
            <x v="0"/>
          </reference>
        </references>
      </pivotArea>
    </chartFormat>
    <chartFormat chart="8" format="5" series="1">
      <pivotArea type="data" outline="0" fieldPosition="0">
        <references count="2">
          <reference field="4294967294" count="1" selected="0">
            <x v="0"/>
          </reference>
          <reference field="10" count="1" selected="0">
            <x v="1"/>
          </reference>
        </references>
      </pivotArea>
    </chartFormat>
    <chartFormat chart="8" format="6">
      <pivotArea type="data" outline="0" fieldPosition="0">
        <references count="3">
          <reference field="4294967294" count="1" selected="0">
            <x v="0"/>
          </reference>
          <reference field="0" count="1" selected="0">
            <x v="7"/>
          </reference>
          <reference field="10" count="1" selected="0">
            <x v="1"/>
          </reference>
        </references>
      </pivotArea>
    </chartFormat>
    <chartFormat chart="8" format="7">
      <pivotArea type="data" outline="0" fieldPosition="0">
        <references count="3">
          <reference field="4294967294" count="1" selected="0">
            <x v="0"/>
          </reference>
          <reference field="0" count="1" selected="0">
            <x v="0"/>
          </reference>
          <reference field="10" count="1" selected="0">
            <x v="0"/>
          </reference>
        </references>
      </pivotArea>
    </chartFormat>
    <chartFormat chart="8" format="8">
      <pivotArea type="data" outline="0" fieldPosition="0">
        <references count="3">
          <reference field="4294967294" count="1" selected="0">
            <x v="0"/>
          </reference>
          <reference field="0" count="1" selected="0">
            <x v="1"/>
          </reference>
          <reference field="10" count="1" selected="0">
            <x v="0"/>
          </reference>
        </references>
      </pivotArea>
    </chartFormat>
    <chartFormat chart="8" format="9">
      <pivotArea type="data" outline="0" fieldPosition="0">
        <references count="3">
          <reference field="4294967294" count="1" selected="0">
            <x v="0"/>
          </reference>
          <reference field="0" count="1" selected="0">
            <x v="2"/>
          </reference>
          <reference field="10" count="1" selected="0">
            <x v="0"/>
          </reference>
        </references>
      </pivotArea>
    </chartFormat>
    <chartFormat chart="8" format="10">
      <pivotArea type="data" outline="0" fieldPosition="0">
        <references count="3">
          <reference field="4294967294" count="1" selected="0">
            <x v="0"/>
          </reference>
          <reference field="0" count="1" selected="0">
            <x v="3"/>
          </reference>
          <reference field="10" count="1" selected="0">
            <x v="0"/>
          </reference>
        </references>
      </pivotArea>
    </chartFormat>
    <chartFormat chart="8" format="11">
      <pivotArea type="data" outline="0" fieldPosition="0">
        <references count="3">
          <reference field="4294967294" count="1" selected="0">
            <x v="0"/>
          </reference>
          <reference field="0" count="1" selected="0">
            <x v="4"/>
          </reference>
          <reference field="10" count="1" selected="0">
            <x v="1"/>
          </reference>
        </references>
      </pivotArea>
    </chartFormat>
    <chartFormat chart="8" format="12">
      <pivotArea type="data" outline="0" fieldPosition="0">
        <references count="3">
          <reference field="4294967294" count="1" selected="0">
            <x v="0"/>
          </reference>
          <reference field="0" count="1" selected="0">
            <x v="5"/>
          </reference>
          <reference field="10" count="1" selected="0">
            <x v="1"/>
          </reference>
        </references>
      </pivotArea>
    </chartFormat>
    <chartFormat chart="8" format="13">
      <pivotArea type="data" outline="0" fieldPosition="0">
        <references count="3">
          <reference field="4294967294" count="1" selected="0">
            <x v="0"/>
          </reference>
          <reference field="0" count="1" selected="0">
            <x v="6"/>
          </reference>
          <reference field="10" count="1" selected="0">
            <x v="1"/>
          </reference>
        </references>
      </pivotArea>
    </chartFormat>
    <chartFormat chart="8" format="14">
      <pivotArea type="data" outline="0" fieldPosition="0">
        <references count="3">
          <reference field="4294967294" count="1" selected="0">
            <x v="0"/>
          </reference>
          <reference field="0" count="1" selected="0">
            <x v="8"/>
          </reference>
          <reference field="10" count="1" selected="0">
            <x v="1"/>
          </reference>
        </references>
      </pivotArea>
    </chartFormat>
    <chartFormat chart="8" format="15">
      <pivotArea type="data" outline="0" fieldPosition="0">
        <references count="3">
          <reference field="4294967294" count="1" selected="0">
            <x v="0"/>
          </reference>
          <reference field="0" count="1" selected="0">
            <x v="9"/>
          </reference>
          <reference field="10" count="1" selected="0">
            <x v="1"/>
          </reference>
        </references>
      </pivotArea>
    </chartFormat>
    <chartFormat chart="8" format="16">
      <pivotArea type="data" outline="0" fieldPosition="0">
        <references count="3">
          <reference field="4294967294" count="1" selected="0">
            <x v="0"/>
          </reference>
          <reference field="0" count="1" selected="0">
            <x v="10"/>
          </reference>
          <reference field="10" count="1" selected="0">
            <x v="1"/>
          </reference>
        </references>
      </pivotArea>
    </chartFormat>
    <chartFormat chart="8" format="17">
      <pivotArea type="data" outline="0" fieldPosition="0">
        <references count="3">
          <reference field="4294967294" count="1" selected="0">
            <x v="0"/>
          </reference>
          <reference field="0" count="1" selected="0">
            <x v="1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3450B2-401B-43A1-8DD7-7C6C9133AE0D}" name="KPI"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9:V10" firstHeaderRow="0" firstDataRow="1" firstDataCol="0"/>
  <pivotFields count="11">
    <pivotField showAll="0"/>
    <pivotField showAll="0"/>
    <pivotField showAll="0"/>
    <pivotField showAll="0">
      <items count="3">
        <item x="0"/>
        <item x="1"/>
        <item t="default"/>
      </items>
    </pivotField>
    <pivotField dataField="1" numFmtId="164" showAll="0"/>
    <pivotField dataField="1" numFmtId="164" showAll="0"/>
    <pivotField dataField="1" numFmtId="164" showAll="0"/>
    <pivotField numFmtId="10" showAll="0"/>
    <pivotField numFmtId="10" showAll="0"/>
    <pivotField showAll="0"/>
    <pivotField showAll="0">
      <items count="3">
        <item x="1"/>
        <item x="0"/>
        <item t="default"/>
      </items>
    </pivotField>
  </pivotFields>
  <rowItems count="1">
    <i/>
  </rowItems>
  <colFields count="1">
    <field x="-2"/>
  </colFields>
  <colItems count="3">
    <i>
      <x/>
    </i>
    <i i="1">
      <x v="1"/>
    </i>
    <i i="2">
      <x v="2"/>
    </i>
  </colItems>
  <dataFields count="3">
    <dataField name="Sum of Revenue" fld="4" baseField="0" baseItem="1" numFmtId="166"/>
    <dataField name="Sum of Profit" fld="6" baseField="0" baseItem="1" numFmtId="166"/>
    <dataField name="Sum of Expenses" fld="5" baseField="0" baseItem="2"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EADE0F-E6A4-449F-A774-62F14AC00364}" name="KPI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21:W22" firstHeaderRow="0" firstDataRow="1" firstDataCol="0"/>
  <pivotFields count="11">
    <pivotField showAll="0"/>
    <pivotField numFmtId="1" showAll="0"/>
    <pivotField showAll="0"/>
    <pivotField showAll="0">
      <items count="3">
        <item x="0"/>
        <item x="1"/>
        <item t="default"/>
      </items>
    </pivotField>
    <pivotField dataField="1" numFmtId="165" showAll="0"/>
    <pivotField dataField="1" numFmtId="165" showAll="0"/>
    <pivotField dataField="1" numFmtId="165" showAll="0"/>
    <pivotField numFmtId="10" showAll="0"/>
    <pivotField numFmtId="10" showAll="0"/>
    <pivotField showAll="0"/>
    <pivotField showAll="0">
      <items count="3">
        <item x="1"/>
        <item x="0"/>
        <item t="default"/>
      </items>
    </pivotField>
  </pivotFields>
  <rowItems count="1">
    <i/>
  </rowItems>
  <colFields count="1">
    <field x="-2"/>
  </colFields>
  <colItems count="3">
    <i>
      <x/>
    </i>
    <i i="1">
      <x v="1"/>
    </i>
    <i i="2">
      <x v="2"/>
    </i>
  </colItems>
  <dataFields count="3">
    <dataField name="Sum of Profit" fld="6" baseField="0" baseItem="0" numFmtId="165"/>
    <dataField name="Sum of Revenue" fld="4" baseField="0" baseItem="0" numFmtId="165"/>
    <dataField name="Sum of Expenses"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0FDBB4-4EEE-46EC-BCDB-897E20DFF356}" name="PivotTable2"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20:D24" firstHeaderRow="1" firstDataRow="2" firstDataCol="1"/>
  <pivotFields count="11">
    <pivotField showAll="0"/>
    <pivotField numFmtId="1"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dataField="1" numFmtId="165" showAll="0"/>
    <pivotField numFmtId="165" showAll="0"/>
    <pivotField numFmtId="165" showAll="0"/>
    <pivotField numFmtId="10" showAll="0"/>
    <pivotField numFmtId="10" showAll="0"/>
    <pivotField showAll="0"/>
    <pivotField axis="axisCol" showAll="0">
      <items count="3">
        <item x="1"/>
        <item x="0"/>
        <item t="default"/>
      </items>
    </pivotField>
  </pivotFields>
  <rowFields count="1">
    <field x="3"/>
  </rowFields>
  <rowItems count="3">
    <i>
      <x v="1"/>
    </i>
    <i>
      <x/>
    </i>
    <i t="grand">
      <x/>
    </i>
  </rowItems>
  <colFields count="1">
    <field x="10"/>
  </colFields>
  <colItems count="3">
    <i>
      <x/>
    </i>
    <i>
      <x v="1"/>
    </i>
    <i t="grand">
      <x/>
    </i>
  </colItems>
  <dataFields count="1">
    <dataField name="Sum of Revenue" fld="4" baseField="0" baseItem="0" numFmtId="165"/>
  </dataFields>
  <chartFormats count="9">
    <chartFormat chart="1" format="2" series="1">
      <pivotArea type="data" outline="0" fieldPosition="0">
        <references count="2">
          <reference field="4294967294" count="1" selected="0">
            <x v="0"/>
          </reference>
          <reference field="10"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3">
          <reference field="4294967294" count="1" selected="0">
            <x v="0"/>
          </reference>
          <reference field="3" count="1" selected="0">
            <x v="1"/>
          </reference>
          <reference field="10" count="1" selected="0">
            <x v="0"/>
          </reference>
        </references>
      </pivotArea>
    </chartFormat>
    <chartFormat chart="1" format="5">
      <pivotArea type="data" outline="0" fieldPosition="0">
        <references count="3">
          <reference field="4294967294" count="1" selected="0">
            <x v="0"/>
          </reference>
          <reference field="3" count="1" selected="0">
            <x v="1"/>
          </reference>
          <reference field="10" count="1" selected="0">
            <x v="1"/>
          </reference>
        </references>
      </pivotArea>
    </chartFormat>
    <chartFormat chart="1" format="6">
      <pivotArea type="data" outline="0" fieldPosition="0">
        <references count="3">
          <reference field="4294967294" count="1" selected="0">
            <x v="0"/>
          </reference>
          <reference field="3" count="1" selected="0">
            <x v="0"/>
          </reference>
          <reference field="10" count="1" selected="0">
            <x v="0"/>
          </reference>
        </references>
      </pivotArea>
    </chartFormat>
    <chartFormat chart="1" format="7">
      <pivotArea type="data" outline="0" fieldPosition="0">
        <references count="3">
          <reference field="4294967294" count="1" selected="0">
            <x v="0"/>
          </reference>
          <reference field="3" count="1" selected="0">
            <x v="0"/>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0"/>
          </reference>
        </references>
      </pivotArea>
    </chartFormat>
    <chartFormat chart="3" format="3" series="1">
      <pivotArea type="data" outline="0" fieldPosition="0">
        <references count="2">
          <reference field="4294967294" count="1" selected="0">
            <x v="0"/>
          </reference>
          <reference field="10" count="1" selected="0">
            <x v="1"/>
          </reference>
        </references>
      </pivotArea>
    </chartFormat>
    <chartFormat chart="3" format="4">
      <pivotArea type="data" outline="0" fieldPosition="0">
        <references count="3">
          <reference field="4294967294" count="1" selected="0">
            <x v="0"/>
          </reference>
          <reference field="3"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DE4442-ACE5-4B1F-96D6-D8E28D8484D7}"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8:F32" firstHeaderRow="1" firstDataRow="2" firstDataCol="1"/>
  <pivotFields count="11">
    <pivotField showAll="0"/>
    <pivotField numFmtId="1" showAll="0"/>
    <pivotField showAll="0"/>
    <pivotField axis="axisRow" showAll="0">
      <items count="3">
        <item x="0"/>
        <item x="1"/>
        <item t="default"/>
      </items>
    </pivotField>
    <pivotField numFmtId="165" showAll="0"/>
    <pivotField dataField="1" numFmtId="165" showAll="0"/>
    <pivotField numFmtId="165" showAll="0"/>
    <pivotField numFmtId="10" showAll="0"/>
    <pivotField numFmtId="10" showAll="0"/>
    <pivotField showAll="0"/>
    <pivotField axis="axisCol" showAll="0">
      <items count="3">
        <item x="1"/>
        <item x="0"/>
        <item t="default"/>
      </items>
    </pivotField>
  </pivotFields>
  <rowFields count="1">
    <field x="3"/>
  </rowFields>
  <rowItems count="3">
    <i>
      <x/>
    </i>
    <i>
      <x v="1"/>
    </i>
    <i t="grand">
      <x/>
    </i>
  </rowItems>
  <colFields count="1">
    <field x="10"/>
  </colFields>
  <colItems count="3">
    <i>
      <x/>
    </i>
    <i>
      <x v="1"/>
    </i>
    <i t="grand">
      <x/>
    </i>
  </colItems>
  <dataFields count="1">
    <dataField name="Sum of Expenses"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E31BEE-E9BD-4217-8EB9-6FBF20FC87F5}" name="PivotTable3"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F20:I24" firstHeaderRow="1" firstDataRow="2" firstDataCol="1"/>
  <pivotFields count="11">
    <pivotField showAll="0"/>
    <pivotField numFmtId="1"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numFmtId="165" showAll="0"/>
    <pivotField numFmtId="165" showAll="0"/>
    <pivotField dataField="1" numFmtId="165" showAll="0"/>
    <pivotField numFmtId="10" showAll="0"/>
    <pivotField numFmtId="10" showAll="0"/>
    <pivotField showAll="0"/>
    <pivotField axis="axisCol" showAll="0">
      <items count="3">
        <item x="1"/>
        <item x="0"/>
        <item t="default"/>
      </items>
    </pivotField>
  </pivotFields>
  <rowFields count="1">
    <field x="3"/>
  </rowFields>
  <rowItems count="3">
    <i>
      <x v="1"/>
    </i>
    <i>
      <x/>
    </i>
    <i t="grand">
      <x/>
    </i>
  </rowItems>
  <colFields count="1">
    <field x="10"/>
  </colFields>
  <colItems count="3">
    <i>
      <x/>
    </i>
    <i>
      <x v="1"/>
    </i>
    <i t="grand">
      <x/>
    </i>
  </colItems>
  <dataFields count="1">
    <dataField name="Sum of Profit" fld="6" baseField="0" baseItem="0" numFmtId="165"/>
  </dataFields>
  <chartFormats count="6">
    <chartFormat chart="1" format="2" series="1">
      <pivotArea type="data" outline="0" fieldPosition="0">
        <references count="2">
          <reference field="4294967294" count="1" selected="0">
            <x v="0"/>
          </reference>
          <reference field="10"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3">
          <reference field="4294967294" count="1" selected="0">
            <x v="0"/>
          </reference>
          <reference field="3" count="1" selected="0">
            <x v="0"/>
          </reference>
          <reference field="10" count="1" selected="0">
            <x v="0"/>
          </reference>
        </references>
      </pivotArea>
    </chartFormat>
    <chartFormat chart="1" format="5">
      <pivotArea type="data" outline="0" fieldPosition="0">
        <references count="3">
          <reference field="4294967294" count="1" selected="0">
            <x v="0"/>
          </reference>
          <reference field="3" count="1" selected="0">
            <x v="0"/>
          </reference>
          <reference field="10" count="1" selected="0">
            <x v="1"/>
          </reference>
        </references>
      </pivotArea>
    </chartFormat>
    <chartFormat chart="1" format="6">
      <pivotArea type="data" outline="0" fieldPosition="0">
        <references count="3">
          <reference field="4294967294" count="1" selected="0">
            <x v="0"/>
          </reference>
          <reference field="3" count="1" selected="0">
            <x v="1"/>
          </reference>
          <reference field="10" count="1" selected="0">
            <x v="1"/>
          </reference>
        </references>
      </pivotArea>
    </chartFormat>
    <chartFormat chart="1" format="7">
      <pivotArea type="data" outline="0" fieldPosition="0">
        <references count="3">
          <reference field="4294967294" count="1" selected="0">
            <x v="0"/>
          </reference>
          <reference field="3" count="1" selected="0">
            <x v="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3CFA07-1FDC-409C-801A-A0028DF9BFF1}" name="monthly profit margi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2:R16" firstHeaderRow="1" firstDataRow="2" firstDataCol="1"/>
  <pivotFields count="11">
    <pivotField axis="axisRow" showAll="0">
      <items count="13">
        <item x="0"/>
        <item x="1"/>
        <item x="2"/>
        <item x="3"/>
        <item x="4"/>
        <item x="5"/>
        <item x="6"/>
        <item x="7"/>
        <item x="8"/>
        <item x="9"/>
        <item x="10"/>
        <item x="11"/>
        <item t="default"/>
      </items>
    </pivotField>
    <pivotField showAll="0"/>
    <pivotField showAll="0"/>
    <pivotField showAll="0">
      <items count="3">
        <item x="0"/>
        <item x="1"/>
        <item t="default"/>
      </items>
    </pivotField>
    <pivotField numFmtId="164" showAll="0"/>
    <pivotField numFmtId="164" showAll="0"/>
    <pivotField numFmtId="164" showAll="0"/>
    <pivotField dataField="1" numFmtId="10" showAll="0"/>
    <pivotField numFmtId="10" showAll="0"/>
    <pivotField showAll="0"/>
    <pivotField axis="axisCol" showAll="0">
      <items count="3">
        <item x="1"/>
        <item x="0"/>
        <item t="default"/>
      </items>
    </pivotField>
  </pivotFields>
  <rowFields count="1">
    <field x="0"/>
  </rowFields>
  <rowItems count="13">
    <i>
      <x/>
    </i>
    <i>
      <x v="1"/>
    </i>
    <i>
      <x v="2"/>
    </i>
    <i>
      <x v="3"/>
    </i>
    <i>
      <x v="4"/>
    </i>
    <i>
      <x v="5"/>
    </i>
    <i>
      <x v="6"/>
    </i>
    <i>
      <x v="7"/>
    </i>
    <i>
      <x v="8"/>
    </i>
    <i>
      <x v="9"/>
    </i>
    <i>
      <x v="10"/>
    </i>
    <i>
      <x v="11"/>
    </i>
    <i t="grand">
      <x/>
    </i>
  </rowItems>
  <colFields count="1">
    <field x="10"/>
  </colFields>
  <colItems count="3">
    <i>
      <x/>
    </i>
    <i>
      <x v="1"/>
    </i>
    <i t="grand">
      <x/>
    </i>
  </colItems>
  <dataFields count="1">
    <dataField name="Average of Profit Margin" fld="7" subtotal="average" baseField="0" baseItem="0" numFmtId="10"/>
  </dataFields>
  <chartFormats count="30">
    <chartFormat chart="1" format="2" series="1">
      <pivotArea type="data" outline="0" fieldPosition="0">
        <references count="2">
          <reference field="4294967294" count="1" selected="0">
            <x v="0"/>
          </reference>
          <reference field="10"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3">
          <reference field="4294967294" count="1" selected="0">
            <x v="0"/>
          </reference>
          <reference field="0" count="1" selected="0">
            <x v="1"/>
          </reference>
          <reference field="10" count="1" selected="0">
            <x v="1"/>
          </reference>
        </references>
      </pivotArea>
    </chartFormat>
    <chartFormat chart="1" format="5">
      <pivotArea type="data" outline="0" fieldPosition="0">
        <references count="3">
          <reference field="4294967294" count="1" selected="0">
            <x v="0"/>
          </reference>
          <reference field="0" count="1" selected="0">
            <x v="0"/>
          </reference>
          <reference field="10" count="1" selected="0">
            <x v="1"/>
          </reference>
        </references>
      </pivotArea>
    </chartFormat>
    <chartFormat chart="1" format="6">
      <pivotArea type="data" outline="0" fieldPosition="0">
        <references count="3">
          <reference field="4294967294" count="1" selected="0">
            <x v="0"/>
          </reference>
          <reference field="0" count="1" selected="0">
            <x v="2"/>
          </reference>
          <reference field="10" count="1" selected="0">
            <x v="1"/>
          </reference>
        </references>
      </pivotArea>
    </chartFormat>
    <chartFormat chart="1" format="7">
      <pivotArea type="data" outline="0" fieldPosition="0">
        <references count="3">
          <reference field="4294967294" count="1" selected="0">
            <x v="0"/>
          </reference>
          <reference field="0" count="1" selected="0">
            <x v="3"/>
          </reference>
          <reference field="10" count="1" selected="0">
            <x v="1"/>
          </reference>
        </references>
      </pivotArea>
    </chartFormat>
    <chartFormat chart="1" format="8">
      <pivotArea type="data" outline="0" fieldPosition="0">
        <references count="3">
          <reference field="4294967294" count="1" selected="0">
            <x v="0"/>
          </reference>
          <reference field="0" count="1" selected="0">
            <x v="4"/>
          </reference>
          <reference field="10" count="1" selected="0">
            <x v="1"/>
          </reference>
        </references>
      </pivotArea>
    </chartFormat>
    <chartFormat chart="1" format="9">
      <pivotArea type="data" outline="0" fieldPosition="0">
        <references count="3">
          <reference field="4294967294" count="1" selected="0">
            <x v="0"/>
          </reference>
          <reference field="0" count="1" selected="0">
            <x v="5"/>
          </reference>
          <reference field="10" count="1" selected="0">
            <x v="1"/>
          </reference>
        </references>
      </pivotArea>
    </chartFormat>
    <chartFormat chart="1" format="10">
      <pivotArea type="data" outline="0" fieldPosition="0">
        <references count="3">
          <reference field="4294967294" count="1" selected="0">
            <x v="0"/>
          </reference>
          <reference field="0" count="1" selected="0">
            <x v="6"/>
          </reference>
          <reference field="10" count="1" selected="0">
            <x v="1"/>
          </reference>
        </references>
      </pivotArea>
    </chartFormat>
    <chartFormat chart="1" format="11">
      <pivotArea type="data" outline="0" fieldPosition="0">
        <references count="3">
          <reference field="4294967294" count="1" selected="0">
            <x v="0"/>
          </reference>
          <reference field="0" count="1" selected="0">
            <x v="6"/>
          </reference>
          <reference field="10" count="1" selected="0">
            <x v="0"/>
          </reference>
        </references>
      </pivotArea>
    </chartFormat>
    <chartFormat chart="1" format="12">
      <pivotArea type="data" outline="0" fieldPosition="0">
        <references count="3">
          <reference field="4294967294" count="1" selected="0">
            <x v="0"/>
          </reference>
          <reference field="0" count="1" selected="0">
            <x v="8"/>
          </reference>
          <reference field="10" count="1" selected="0">
            <x v="1"/>
          </reference>
        </references>
      </pivotArea>
    </chartFormat>
    <chartFormat chart="1" format="13">
      <pivotArea type="data" outline="0" fieldPosition="0">
        <references count="3">
          <reference field="4294967294" count="1" selected="0">
            <x v="0"/>
          </reference>
          <reference field="0" count="1" selected="0">
            <x v="9"/>
          </reference>
          <reference field="10" count="1" selected="0">
            <x v="1"/>
          </reference>
        </references>
      </pivotArea>
    </chartFormat>
    <chartFormat chart="1" format="14">
      <pivotArea type="data" outline="0" fieldPosition="0">
        <references count="3">
          <reference field="4294967294" count="1" selected="0">
            <x v="0"/>
          </reference>
          <reference field="0" count="1" selected="0">
            <x v="10"/>
          </reference>
          <reference field="10" count="1" selected="0">
            <x v="1"/>
          </reference>
        </references>
      </pivotArea>
    </chartFormat>
    <chartFormat chart="1" format="15">
      <pivotArea type="data" outline="0" fieldPosition="0">
        <references count="3">
          <reference field="4294967294" count="1" selected="0">
            <x v="0"/>
          </reference>
          <reference field="0" count="1" selected="0">
            <x v="11"/>
          </reference>
          <reference field="10" count="1" selected="0">
            <x v="1"/>
          </reference>
        </references>
      </pivotArea>
    </chartFormat>
    <chartFormat chart="1" format="16">
      <pivotArea type="data" outline="0" fieldPosition="0">
        <references count="3">
          <reference field="4294967294" count="1" selected="0">
            <x v="0"/>
          </reference>
          <reference field="0" count="1" selected="0">
            <x v="7"/>
          </reference>
          <reference field="10" count="1" selected="0">
            <x v="1"/>
          </reference>
        </references>
      </pivotArea>
    </chartFormat>
    <chartFormat chart="3" format="2" series="1">
      <pivotArea type="data" outline="0" fieldPosition="0">
        <references count="2">
          <reference field="4294967294" count="1" selected="0">
            <x v="0"/>
          </reference>
          <reference field="10" count="1" selected="0">
            <x v="0"/>
          </reference>
        </references>
      </pivotArea>
    </chartFormat>
    <chartFormat chart="3" format="3" series="1">
      <pivotArea type="data" outline="0" fieldPosition="0">
        <references count="2">
          <reference field="4294967294" count="1" selected="0">
            <x v="0"/>
          </reference>
          <reference field="10" count="1" selected="0">
            <x v="1"/>
          </reference>
        </references>
      </pivotArea>
    </chartFormat>
    <chartFormat chart="3" format="4">
      <pivotArea type="data" outline="0" fieldPosition="0">
        <references count="3">
          <reference field="4294967294" count="1" selected="0">
            <x v="0"/>
          </reference>
          <reference field="0" count="1" selected="0">
            <x v="3"/>
          </reference>
          <reference field="10" count="1" selected="0">
            <x v="1"/>
          </reference>
        </references>
      </pivotArea>
    </chartFormat>
    <chartFormat chart="3" format="5">
      <pivotArea type="data" outline="0" fieldPosition="0">
        <references count="3">
          <reference field="4294967294" count="1" selected="0">
            <x v="0"/>
          </reference>
          <reference field="0" count="1" selected="0">
            <x v="2"/>
          </reference>
          <reference field="10" count="1" selected="0">
            <x v="1"/>
          </reference>
        </references>
      </pivotArea>
    </chartFormat>
    <chartFormat chart="3" format="6">
      <pivotArea type="data" outline="0" fieldPosition="0">
        <references count="3">
          <reference field="4294967294" count="1" selected="0">
            <x v="0"/>
          </reference>
          <reference field="0" count="1" selected="0">
            <x v="1"/>
          </reference>
          <reference field="10" count="1" selected="0">
            <x v="1"/>
          </reference>
        </references>
      </pivotArea>
    </chartFormat>
    <chartFormat chart="3" format="7">
      <pivotArea type="data" outline="0" fieldPosition="0">
        <references count="3">
          <reference field="4294967294" count="1" selected="0">
            <x v="0"/>
          </reference>
          <reference field="0" count="1" selected="0">
            <x v="0"/>
          </reference>
          <reference field="10" count="1" selected="0">
            <x v="1"/>
          </reference>
        </references>
      </pivotArea>
    </chartFormat>
    <chartFormat chart="3" format="8">
      <pivotArea type="data" outline="0" fieldPosition="0">
        <references count="3">
          <reference field="4294967294" count="1" selected="0">
            <x v="0"/>
          </reference>
          <reference field="0" count="1" selected="0">
            <x v="4"/>
          </reference>
          <reference field="10" count="1" selected="0">
            <x v="1"/>
          </reference>
        </references>
      </pivotArea>
    </chartFormat>
    <chartFormat chart="3" format="9">
      <pivotArea type="data" outline="0" fieldPosition="0">
        <references count="3">
          <reference field="4294967294" count="1" selected="0">
            <x v="0"/>
          </reference>
          <reference field="0" count="1" selected="0">
            <x v="5"/>
          </reference>
          <reference field="10" count="1" selected="0">
            <x v="1"/>
          </reference>
        </references>
      </pivotArea>
    </chartFormat>
    <chartFormat chart="3" format="10">
      <pivotArea type="data" outline="0" fieldPosition="0">
        <references count="3">
          <reference field="4294967294" count="1" selected="0">
            <x v="0"/>
          </reference>
          <reference field="0" count="1" selected="0">
            <x v="6"/>
          </reference>
          <reference field="10" count="1" selected="0">
            <x v="1"/>
          </reference>
        </references>
      </pivotArea>
    </chartFormat>
    <chartFormat chart="3" format="11">
      <pivotArea type="data" outline="0" fieldPosition="0">
        <references count="3">
          <reference field="4294967294" count="1" selected="0">
            <x v="0"/>
          </reference>
          <reference field="0" count="1" selected="0">
            <x v="7"/>
          </reference>
          <reference field="10" count="1" selected="0">
            <x v="1"/>
          </reference>
        </references>
      </pivotArea>
    </chartFormat>
    <chartFormat chart="3" format="12">
      <pivotArea type="data" outline="0" fieldPosition="0">
        <references count="3">
          <reference field="4294967294" count="1" selected="0">
            <x v="0"/>
          </reference>
          <reference field="0" count="1" selected="0">
            <x v="8"/>
          </reference>
          <reference field="10" count="1" selected="0">
            <x v="1"/>
          </reference>
        </references>
      </pivotArea>
    </chartFormat>
    <chartFormat chart="3" format="13">
      <pivotArea type="data" outline="0" fieldPosition="0">
        <references count="3">
          <reference field="4294967294" count="1" selected="0">
            <x v="0"/>
          </reference>
          <reference field="0" count="1" selected="0">
            <x v="9"/>
          </reference>
          <reference field="10" count="1" selected="0">
            <x v="1"/>
          </reference>
        </references>
      </pivotArea>
    </chartFormat>
    <chartFormat chart="3" format="14">
      <pivotArea type="data" outline="0" fieldPosition="0">
        <references count="3">
          <reference field="4294967294" count="1" selected="0">
            <x v="0"/>
          </reference>
          <reference field="0" count="1" selected="0">
            <x v="10"/>
          </reference>
          <reference field="10" count="1" selected="0">
            <x v="1"/>
          </reference>
        </references>
      </pivotArea>
    </chartFormat>
    <chartFormat chart="3" format="15">
      <pivotArea type="data" outline="0" fieldPosition="0">
        <references count="3">
          <reference field="4294967294" count="1" selected="0">
            <x v="0"/>
          </reference>
          <reference field="0" count="1" selected="0">
            <x v="11"/>
          </reference>
          <reference field="10" count="1" selected="0">
            <x v="1"/>
          </reference>
        </references>
      </pivotArea>
    </chartFormat>
    <chartFormat chart="3" format="16">
      <pivotArea type="data" outline="0" fieldPosition="0">
        <references count="3">
          <reference field="4294967294" count="1" selected="0">
            <x v="0"/>
          </reference>
          <reference field="0" count="1" selected="0">
            <x v="11"/>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21C8EB4-12BC-4E83-936B-707AA5964642}"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P20:S26" firstHeaderRow="1" firstDataRow="2" firstDataCol="1"/>
  <pivotFields count="11">
    <pivotField showAll="0"/>
    <pivotField numFmtId="1" showAll="0"/>
    <pivotField axis="axisRow" showAll="0">
      <items count="5">
        <item x="0"/>
        <item x="1"/>
        <item x="2"/>
        <item x="3"/>
        <item t="default"/>
      </items>
    </pivotField>
    <pivotField showAll="0">
      <items count="3">
        <item x="0"/>
        <item x="1"/>
        <item t="default"/>
      </items>
    </pivotField>
    <pivotField numFmtId="165" showAll="0"/>
    <pivotField numFmtId="165" showAll="0"/>
    <pivotField dataField="1" numFmtId="165" showAll="0"/>
    <pivotField numFmtId="10" showAll="0"/>
    <pivotField numFmtId="10" showAll="0"/>
    <pivotField showAll="0"/>
    <pivotField axis="axisCol" showAll="0">
      <items count="3">
        <item x="1"/>
        <item x="0"/>
        <item t="default"/>
      </items>
    </pivotField>
  </pivotFields>
  <rowFields count="1">
    <field x="2"/>
  </rowFields>
  <rowItems count="5">
    <i>
      <x/>
    </i>
    <i>
      <x v="1"/>
    </i>
    <i>
      <x v="2"/>
    </i>
    <i>
      <x v="3"/>
    </i>
    <i t="grand">
      <x/>
    </i>
  </rowItems>
  <colFields count="1">
    <field x="10"/>
  </colFields>
  <colItems count="3">
    <i>
      <x/>
    </i>
    <i>
      <x v="1"/>
    </i>
    <i t="grand">
      <x/>
    </i>
  </colItems>
  <dataFields count="1">
    <dataField name="Sum of Profit" fld="6" baseField="0" baseItem="0" numFmtId="165"/>
  </dataFields>
  <chartFormats count="9">
    <chartFormat chart="1" format="2" series="1">
      <pivotArea type="data" outline="0" fieldPosition="0">
        <references count="2">
          <reference field="4294967294" count="1" selected="0">
            <x v="0"/>
          </reference>
          <reference field="10"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 chart="1" format="4">
      <pivotArea type="data" outline="0" fieldPosition="0">
        <references count="3">
          <reference field="4294967294" count="1" selected="0">
            <x v="0"/>
          </reference>
          <reference field="2" count="1" selected="0">
            <x v="2"/>
          </reference>
          <reference field="10" count="1" selected="0">
            <x v="1"/>
          </reference>
        </references>
      </pivotArea>
    </chartFormat>
    <chartFormat chart="1" format="5">
      <pivotArea type="data" outline="0" fieldPosition="0">
        <references count="3">
          <reference field="4294967294" count="1" selected="0">
            <x v="0"/>
          </reference>
          <reference field="2" count="1" selected="0">
            <x v="1"/>
          </reference>
          <reference field="10" count="1" selected="0">
            <x v="1"/>
          </reference>
        </references>
      </pivotArea>
    </chartFormat>
    <chartFormat chart="1" format="6">
      <pivotArea type="data" outline="0" fieldPosition="0">
        <references count="3">
          <reference field="4294967294" count="1" selected="0">
            <x v="0"/>
          </reference>
          <reference field="2" count="1" selected="0">
            <x v="0"/>
          </reference>
          <reference field="10" count="1" selected="0">
            <x v="0"/>
          </reference>
        </references>
      </pivotArea>
    </chartFormat>
    <chartFormat chart="1" format="7">
      <pivotArea type="data" outline="0" fieldPosition="0">
        <references count="3">
          <reference field="4294967294" count="1" selected="0">
            <x v="0"/>
          </reference>
          <reference field="2" count="1" selected="0">
            <x v="2"/>
          </reference>
          <reference field="10" count="1" selected="0">
            <x v="0"/>
          </reference>
        </references>
      </pivotArea>
    </chartFormat>
    <chartFormat chart="1" format="8">
      <pivotArea type="data" outline="0" fieldPosition="0">
        <references count="3">
          <reference field="4294967294" count="1" selected="0">
            <x v="0"/>
          </reference>
          <reference field="2" count="1" selected="0">
            <x v="1"/>
          </reference>
          <reference field="10" count="1" selected="0">
            <x v="0"/>
          </reference>
        </references>
      </pivotArea>
    </chartFormat>
    <chartFormat chart="1" format="9">
      <pivotArea type="data" outline="0" fieldPosition="0">
        <references count="3">
          <reference field="4294967294" count="1" selected="0">
            <x v="0"/>
          </reference>
          <reference field="2" count="1" selected="0">
            <x v="0"/>
          </reference>
          <reference field="10" count="1" selected="0">
            <x v="1"/>
          </reference>
        </references>
      </pivotArea>
    </chartFormat>
    <chartFormat chart="1" format="10">
      <pivotArea type="data" outline="0" fieldPosition="0">
        <references count="3">
          <reference field="4294967294" count="1" selected="0">
            <x v="0"/>
          </reference>
          <reference field="2" count="1" selected="0">
            <x v="3"/>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C7F94B-98DD-455F-9523-3BD092D4F401}" name="PivotTable4" cacheId="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K20:N24" firstHeaderRow="1" firstDataRow="2" firstDataCol="1"/>
  <pivotFields count="11">
    <pivotField showAll="0"/>
    <pivotField numFmtId="1"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numFmtId="165" showAll="0"/>
    <pivotField numFmtId="165" showAll="0"/>
    <pivotField numFmtId="165" showAll="0"/>
    <pivotField dataField="1" numFmtId="10" showAll="0">
      <items count="25">
        <item x="16"/>
        <item x="2"/>
        <item x="20"/>
        <item x="4"/>
        <item x="11"/>
        <item x="3"/>
        <item x="19"/>
        <item x="12"/>
        <item x="23"/>
        <item x="14"/>
        <item x="9"/>
        <item x="18"/>
        <item x="17"/>
        <item x="21"/>
        <item x="0"/>
        <item x="5"/>
        <item x="22"/>
        <item x="8"/>
        <item x="7"/>
        <item x="1"/>
        <item x="15"/>
        <item x="13"/>
        <item x="10"/>
        <item x="6"/>
        <item t="default"/>
      </items>
    </pivotField>
    <pivotField numFmtId="10" showAll="0"/>
    <pivotField showAll="0"/>
    <pivotField axis="axisCol" showAll="0">
      <items count="3">
        <item x="1"/>
        <item x="0"/>
        <item t="default"/>
      </items>
    </pivotField>
  </pivotFields>
  <rowFields count="1">
    <field x="3"/>
  </rowFields>
  <rowItems count="3">
    <i>
      <x v="1"/>
    </i>
    <i>
      <x/>
    </i>
    <i t="grand">
      <x/>
    </i>
  </rowItems>
  <colFields count="1">
    <field x="10"/>
  </colFields>
  <colItems count="3">
    <i>
      <x/>
    </i>
    <i>
      <x v="1"/>
    </i>
    <i t="grand">
      <x/>
    </i>
  </colItems>
  <dataFields count="1">
    <dataField name="Average of Profit Margin" fld="7" subtotal="average" baseField="3" baseItem="0" numFmtId="10"/>
  </dataFields>
  <chartFormats count="2">
    <chartFormat chart="1" format="2" series="1">
      <pivotArea type="data" outline="0" fieldPosition="0">
        <references count="2">
          <reference field="4294967294" count="1" selected="0">
            <x v="0"/>
          </reference>
          <reference field="10" count="1" selected="0">
            <x v="0"/>
          </reference>
        </references>
      </pivotArea>
    </chartFormat>
    <chartFormat chart="1" format="3"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36B8E05-78BD-4DB6-BDB0-EF3BF19B8A2F}" name="monthly profi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I17" firstHeaderRow="1" firstDataRow="2" firstDataCol="1"/>
  <pivotFields count="11">
    <pivotField axis="axisRow" showAll="0" sortType="ascending">
      <items count="13">
        <item x="0"/>
        <item x="1"/>
        <item x="2"/>
        <item x="3"/>
        <item x="4"/>
        <item x="5"/>
        <item x="6"/>
        <item x="7"/>
        <item x="8"/>
        <item x="9"/>
        <item x="10"/>
        <item x="11"/>
        <item t="default"/>
      </items>
    </pivotField>
    <pivotField showAll="0"/>
    <pivotField showAll="0"/>
    <pivotField showAll="0">
      <items count="3">
        <item x="0"/>
        <item x="1"/>
        <item t="default"/>
      </items>
    </pivotField>
    <pivotField numFmtId="164" showAll="0"/>
    <pivotField numFmtId="164" showAll="0"/>
    <pivotField dataField="1" numFmtId="164" showAll="0"/>
    <pivotField numFmtId="10" showAll="0"/>
    <pivotField numFmtId="10" showAll="0"/>
    <pivotField showAll="0"/>
    <pivotField axis="axisCol" showAll="0" sortType="descending">
      <items count="3">
        <item x="0"/>
        <item x="1"/>
        <item t="default"/>
      </items>
      <autoSortScope>
        <pivotArea dataOnly="0" outline="0" fieldPosition="0">
          <references count="1">
            <reference field="4294967294" count="1" selected="0">
              <x v="0"/>
            </reference>
          </references>
        </pivotArea>
      </autoSortScope>
    </pivotField>
  </pivotFields>
  <rowFields count="1">
    <field x="0"/>
  </rowFields>
  <rowItems count="13">
    <i>
      <x/>
    </i>
    <i>
      <x v="1"/>
    </i>
    <i>
      <x v="2"/>
    </i>
    <i>
      <x v="3"/>
    </i>
    <i>
      <x v="4"/>
    </i>
    <i>
      <x v="5"/>
    </i>
    <i>
      <x v="6"/>
    </i>
    <i>
      <x v="7"/>
    </i>
    <i>
      <x v="8"/>
    </i>
    <i>
      <x v="9"/>
    </i>
    <i>
      <x v="10"/>
    </i>
    <i>
      <x v="11"/>
    </i>
    <i t="grand">
      <x/>
    </i>
  </rowItems>
  <colFields count="1">
    <field x="10"/>
  </colFields>
  <colItems count="3">
    <i>
      <x/>
    </i>
    <i>
      <x v="1"/>
    </i>
    <i t="grand">
      <x/>
    </i>
  </colItems>
  <dataFields count="1">
    <dataField name="Sum of Profit" fld="6" baseField="0" baseItem="6" numFmtId="166"/>
  </dataFields>
  <chartFormats count="17">
    <chartFormat chart="5" format="2" series="1">
      <pivotArea type="data" outline="0" fieldPosition="0">
        <references count="2">
          <reference field="4294967294" count="1" selected="0">
            <x v="0"/>
          </reference>
          <reference field="10" count="1" selected="0">
            <x v="0"/>
          </reference>
        </references>
      </pivotArea>
    </chartFormat>
    <chartFormat chart="5" format="3" series="1">
      <pivotArea type="data" outline="0" fieldPosition="0">
        <references count="2">
          <reference field="4294967294" count="1" selected="0">
            <x v="0"/>
          </reference>
          <reference field="10" count="1" selected="0">
            <x v="1"/>
          </reference>
        </references>
      </pivotArea>
    </chartFormat>
    <chartFormat chart="5" format="4">
      <pivotArea type="data" outline="0" fieldPosition="0">
        <references count="3">
          <reference field="4294967294" count="1" selected="0">
            <x v="0"/>
          </reference>
          <reference field="0" count="1" selected="0">
            <x v="8"/>
          </reference>
          <reference field="10" count="1" selected="0">
            <x v="1"/>
          </reference>
        </references>
      </pivotArea>
    </chartFormat>
    <chartFormat chart="5" format="5">
      <pivotArea type="data" outline="0" fieldPosition="0">
        <references count="3">
          <reference field="4294967294" count="1" selected="0">
            <x v="0"/>
          </reference>
          <reference field="0" count="1" selected="0">
            <x v="1"/>
          </reference>
          <reference field="10" count="1" selected="0">
            <x v="1"/>
          </reference>
        </references>
      </pivotArea>
    </chartFormat>
    <chartFormat chart="5" format="6">
      <pivotArea type="data" outline="0" fieldPosition="0">
        <references count="3">
          <reference field="4294967294" count="1" selected="0">
            <x v="0"/>
          </reference>
          <reference field="0" count="1" selected="0">
            <x v="0"/>
          </reference>
          <reference field="10" count="1" selected="0">
            <x v="1"/>
          </reference>
        </references>
      </pivotArea>
    </chartFormat>
    <chartFormat chart="5" format="7">
      <pivotArea type="data" outline="0" fieldPosition="0">
        <references count="3">
          <reference field="4294967294" count="1" selected="0">
            <x v="0"/>
          </reference>
          <reference field="0" count="1" selected="0">
            <x v="2"/>
          </reference>
          <reference field="10" count="1" selected="0">
            <x v="1"/>
          </reference>
        </references>
      </pivotArea>
    </chartFormat>
    <chartFormat chart="5" format="8">
      <pivotArea type="data" outline="0" fieldPosition="0">
        <references count="3">
          <reference field="4294967294" count="1" selected="0">
            <x v="0"/>
          </reference>
          <reference field="0" count="1" selected="0">
            <x v="3"/>
          </reference>
          <reference field="10" count="1" selected="0">
            <x v="1"/>
          </reference>
        </references>
      </pivotArea>
    </chartFormat>
    <chartFormat chart="5" format="9">
      <pivotArea type="data" outline="0" fieldPosition="0">
        <references count="3">
          <reference field="4294967294" count="1" selected="0">
            <x v="0"/>
          </reference>
          <reference field="0" count="1" selected="0">
            <x v="5"/>
          </reference>
          <reference field="10" count="1" selected="0">
            <x v="1"/>
          </reference>
        </references>
      </pivotArea>
    </chartFormat>
    <chartFormat chart="5" format="10">
      <pivotArea type="data" outline="0" fieldPosition="0">
        <references count="3">
          <reference field="4294967294" count="1" selected="0">
            <x v="0"/>
          </reference>
          <reference field="0" count="1" selected="0">
            <x v="4"/>
          </reference>
          <reference field="10" count="1" selected="0">
            <x v="1"/>
          </reference>
        </references>
      </pivotArea>
    </chartFormat>
    <chartFormat chart="5" format="11">
      <pivotArea type="data" outline="0" fieldPosition="0">
        <references count="3">
          <reference field="4294967294" count="1" selected="0">
            <x v="0"/>
          </reference>
          <reference field="0" count="1" selected="0">
            <x v="7"/>
          </reference>
          <reference field="10" count="1" selected="0">
            <x v="1"/>
          </reference>
        </references>
      </pivotArea>
    </chartFormat>
    <chartFormat chart="5" format="12">
      <pivotArea type="data" outline="0" fieldPosition="0">
        <references count="3">
          <reference field="4294967294" count="1" selected="0">
            <x v="0"/>
          </reference>
          <reference field="0" count="1" selected="0">
            <x v="6"/>
          </reference>
          <reference field="10" count="1" selected="0">
            <x v="1"/>
          </reference>
        </references>
      </pivotArea>
    </chartFormat>
    <chartFormat chart="5" format="13">
      <pivotArea type="data" outline="0" fieldPosition="0">
        <references count="3">
          <reference field="4294967294" count="1" selected="0">
            <x v="0"/>
          </reference>
          <reference field="0" count="1" selected="0">
            <x v="6"/>
          </reference>
          <reference field="10" count="1" selected="0">
            <x v="0"/>
          </reference>
        </references>
      </pivotArea>
    </chartFormat>
    <chartFormat chart="5" format="14">
      <pivotArea type="data" outline="0" fieldPosition="0">
        <references count="3">
          <reference field="4294967294" count="1" selected="0">
            <x v="0"/>
          </reference>
          <reference field="0" count="1" selected="0">
            <x v="5"/>
          </reference>
          <reference field="10" count="1" selected="0">
            <x v="0"/>
          </reference>
        </references>
      </pivotArea>
    </chartFormat>
    <chartFormat chart="5" format="15">
      <pivotArea type="data" outline="0" fieldPosition="0">
        <references count="3">
          <reference field="4294967294" count="1" selected="0">
            <x v="0"/>
          </reference>
          <reference field="0" count="1" selected="0">
            <x v="11"/>
          </reference>
          <reference field="10" count="1" selected="0">
            <x v="1"/>
          </reference>
        </references>
      </pivotArea>
    </chartFormat>
    <chartFormat chart="5" format="16">
      <pivotArea type="data" outline="0" fieldPosition="0">
        <references count="3">
          <reference field="4294967294" count="1" selected="0">
            <x v="0"/>
          </reference>
          <reference field="0" count="1" selected="0">
            <x v="10"/>
          </reference>
          <reference field="10" count="1" selected="0">
            <x v="1"/>
          </reference>
        </references>
      </pivotArea>
    </chartFormat>
    <chartFormat chart="5" format="17">
      <pivotArea type="data" outline="0" fieldPosition="0">
        <references count="3">
          <reference field="4294967294" count="1" selected="0">
            <x v="0"/>
          </reference>
          <reference field="0" count="1" selected="0">
            <x v="9"/>
          </reference>
          <reference field="10" count="1" selected="0">
            <x v="0"/>
          </reference>
        </references>
      </pivotArea>
    </chartFormat>
    <chartFormat chart="5" format="18">
      <pivotArea type="data" outline="0" fieldPosition="0">
        <references count="3">
          <reference field="4294967294" count="1" selected="0">
            <x v="0"/>
          </reference>
          <reference field="0" count="1" selected="0">
            <x v="1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77DE3E-AEF2-404C-8C7B-FE6A53642892}" name="revenue vs expense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2:M5" firstHeaderRow="0" firstDataRow="1" firstDataCol="1"/>
  <pivotFields count="11">
    <pivotField showAll="0"/>
    <pivotField showAll="0"/>
    <pivotField showAll="0"/>
    <pivotField showAll="0">
      <items count="3">
        <item x="0"/>
        <item x="1"/>
        <item t="default"/>
      </items>
    </pivotField>
    <pivotField dataField="1" numFmtId="164" showAll="0"/>
    <pivotField dataField="1" numFmtId="164" showAll="0"/>
    <pivotField numFmtId="164" showAll="0"/>
    <pivotField numFmtId="10" showAll="0"/>
    <pivotField numFmtId="10" showAll="0"/>
    <pivotField showAll="0"/>
    <pivotField axis="axisRow" showAll="0">
      <items count="3">
        <item x="1"/>
        <item x="0"/>
        <item t="default"/>
      </items>
    </pivotField>
  </pivotFields>
  <rowFields count="1">
    <field x="10"/>
  </rowFields>
  <rowItems count="3">
    <i>
      <x/>
    </i>
    <i>
      <x v="1"/>
    </i>
    <i t="grand">
      <x/>
    </i>
  </rowItems>
  <colFields count="1">
    <field x="-2"/>
  </colFields>
  <colItems count="2">
    <i>
      <x/>
    </i>
    <i i="1">
      <x v="1"/>
    </i>
  </colItems>
  <dataFields count="2">
    <dataField name="Sum of Expenses" fld="5" baseField="10" baseItem="0" numFmtId="166"/>
    <dataField name="Sum of Revenue" fld="4" baseField="10" baseItem="0" numFmtId="166"/>
  </dataField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 format="4">
      <pivotArea type="data" outline="0" fieldPosition="0">
        <references count="2">
          <reference field="4294967294" count="1" selected="0">
            <x v="0"/>
          </reference>
          <reference field="10" count="1" selected="0">
            <x v="1"/>
          </reference>
        </references>
      </pivotArea>
    </chartFormat>
    <chartFormat chart="1" format="5">
      <pivotArea type="data" outline="0" fieldPosition="0">
        <references count="2">
          <reference field="4294967294" count="1" selected="0">
            <x v="0"/>
          </reference>
          <reference field="10" count="1" selected="0">
            <x v="0"/>
          </reference>
        </references>
      </pivotArea>
    </chartFormat>
    <chartFormat chart="1" format="6">
      <pivotArea type="data" outline="0" fieldPosition="0">
        <references count="2">
          <reference field="4294967294" count="1" selected="0">
            <x v="1"/>
          </reference>
          <reference field="10" count="1" selected="0">
            <x v="0"/>
          </reference>
        </references>
      </pivotArea>
    </chartFormat>
    <chartFormat chart="1" format="7">
      <pivotArea type="data" outline="0" fieldPosition="0">
        <references count="2">
          <reference field="4294967294"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CAC8238-029F-4332-B32F-50201B4EFE9B}" name="PT YoY" cacheId="2"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7:L10" firstHeaderRow="1" firstDataRow="1" firstDataCol="1"/>
  <pivotFields count="11">
    <pivotField showAll="0"/>
    <pivotField showAll="0"/>
    <pivotField showAll="0"/>
    <pivotField showAll="0"/>
    <pivotField numFmtId="164" showAll="0"/>
    <pivotField numFmtId="164" showAll="0"/>
    <pivotField dataField="1" numFmtId="164" showAll="0"/>
    <pivotField numFmtId="10" showAll="0"/>
    <pivotField numFmtId="10" showAll="0"/>
    <pivotField showAll="0"/>
    <pivotField axis="axisRow" showAll="0">
      <items count="3">
        <item x="1"/>
        <item x="0"/>
        <item t="default"/>
      </items>
    </pivotField>
  </pivotFields>
  <rowFields count="1">
    <field x="10"/>
  </rowFields>
  <rowItems count="3">
    <i>
      <x/>
    </i>
    <i>
      <x v="1"/>
    </i>
    <i t="grand">
      <x/>
    </i>
  </rowItems>
  <colItems count="1">
    <i/>
  </colItems>
  <dataFields count="1">
    <dataField name="Sum of Profit" fld="6" baseField="10" baseItem="1"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inancial_Year" xr10:uid="{4BCAE6BE-4C73-47BD-BF47-4440CB3F9A7F}" sourceName="Financial Year">
  <pivotTables>
    <pivotTable tabId="4" name="PivotTable3"/>
    <pivotTable tabId="4" name="KPI2"/>
    <pivotTable tabId="4" name="PivotTable2"/>
    <pivotTable tabId="4" name="PivotTable4"/>
    <pivotTable tabId="4" name="PivotTable5"/>
    <pivotTable tabId="4" name="PivotTable1"/>
  </pivotTables>
  <data>
    <tabular pivotCacheId="2887993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9105987-E451-40F9-B348-AAE462475788}" sourceName="Product">
  <pivotTables>
    <pivotTable tabId="4" name="PivotTable3"/>
    <pivotTable tabId="4" name="KPI2"/>
    <pivotTable tabId="4" name="PivotTable2"/>
    <pivotTable tabId="4" name="PivotTable4"/>
    <pivotTable tabId="4" name="PivotTable5"/>
    <pivotTable tabId="4" name="PivotTable1"/>
  </pivotTables>
  <data>
    <tabular pivotCacheId="2887993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234A06C-9F32-4D13-A25A-53C4E88F1FED}" sourceName="Product">
  <pivotTables>
    <pivotTable tabId="4" name="monthly revenue trend"/>
    <pivotTable tabId="4" name="KPI"/>
    <pivotTable tabId="4" name="monthly profit"/>
    <pivotTable tabId="4" name="monthly profit margin"/>
    <pivotTable tabId="4" name="revenue vs expenses"/>
  </pivotTables>
  <data>
    <tabular pivotCacheId="71701636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C1F339F-9ADC-4E1A-8CEF-F283D6FCEAEF}" cache="Slicer_Product" caption="Product" columnCount="2" showCaption="0"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inancial Year 1" xr10:uid="{9C9A521C-C1D1-4AA9-8816-BFDB42946765}" cache="Slicer_Financial_Year" caption="Financial Year" columnCount="2" showCaption="0" rowHeight="365760"/>
  <slicer name="Product 1" xr10:uid="{304E7E9E-288C-4BB4-A4E0-EC1D753B1422}" cache="Slicer_Product1" caption="Product" columnCount="2" showCaption="0"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7C8FCA-44DC-4938-B0F8-2851FF9E8EC9}" name="FinancialData" displayName="FinancialData" ref="A1:K250" totalsRowShown="0" headerRowDxfId="21" headerRowBorderDxfId="20" tableBorderDxfId="19">
  <autoFilter ref="A1:K250" xr:uid="{B77C8FCA-44DC-4938-B0F8-2851FF9E8EC9}"/>
  <sortState xmlns:xlrd2="http://schemas.microsoft.com/office/spreadsheetml/2017/richdata2" ref="A2:K250">
    <sortCondition ref="B1:B250"/>
  </sortState>
  <tableColumns count="11">
    <tableColumn id="1" xr3:uid="{7181DBB5-38CB-43A9-8850-93DC35CC8151}" name="Month" dataDxfId="18">
      <calculatedColumnFormula>TEXT(FinancialData[[#This Row],[Date]],"MMMM")</calculatedColumnFormula>
    </tableColumn>
    <tableColumn id="13" xr3:uid="{98EC65D3-5D55-443B-AD0D-9B2B9339B61B}" name="Month No." dataDxfId="17">
      <calculatedColumnFormula>MONTH(FinancialData[[#This Row],[Date]])</calculatedColumnFormula>
    </tableColumn>
    <tableColumn id="14" xr3:uid="{14CC720A-EF61-4211-BDA4-9E16AF761A83}" name="Quarter" dataDxfId="16">
      <calculatedColumnFormula>"Q"&amp;ROUNDUP(MONTH(FinancialData[[#This Row],[Date]])/3,0)</calculatedColumnFormula>
    </tableColumn>
    <tableColumn id="2" xr3:uid="{AE24DEF7-927D-4323-AECF-9B95499BBDC6}" name="Product" dataDxfId="15"/>
    <tableColumn id="3" xr3:uid="{9A84963E-320C-402B-AF6F-C5F5AE92621B}" name="Revenue" dataDxfId="14"/>
    <tableColumn id="4" xr3:uid="{B2140C8E-B5F5-4A29-AFEA-93B1B01A6FD9}" name="Expenses" dataDxfId="13"/>
    <tableColumn id="5" xr3:uid="{575E3B8B-2631-411B-AD06-D2A14D153A83}" name="Profit" dataDxfId="12"/>
    <tableColumn id="15" xr3:uid="{436B3268-FF06-423E-861C-191646E9A451}" name="Profit Margin" dataDxfId="11">
      <calculatedColumnFormula>IFERROR(FinancialData[[#This Row],[Profit]]/FinancialData[[#This Row],[Revenue]],0)</calculatedColumnFormula>
    </tableColumn>
    <tableColumn id="16" xr3:uid="{06F9CE9B-16C8-413E-92C1-36FC1E154E34}" name="Expenses Ratio" dataDxfId="10">
      <calculatedColumnFormula>IFERROR(FinancialData[[#This Row],[Expenses]]/FinancialData[[#This Row],[Revenue]],0)</calculatedColumnFormula>
    </tableColumn>
    <tableColumn id="6" xr3:uid="{2E3AB598-0142-42D9-AA05-22FAA83B662B}" name="Date" dataDxfId="9"/>
    <tableColumn id="7" xr3:uid="{66C1107E-C41D-4DD0-971E-2E2558381B75}" name="Financial Year"/>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905F2B-7FE3-4555-9779-033704B880BC}" name="FinancialData2" displayName="FinancialData2" ref="A1:K250" totalsRowShown="0">
  <autoFilter ref="A1:K250" xr:uid="{D3905F2B-7FE3-4555-9779-033704B880BC}"/>
  <tableColumns count="11">
    <tableColumn id="1" xr3:uid="{D9D4A9EA-0D16-4788-B1CB-92D5AE64AB54}" name="Month" dataDxfId="8"/>
    <tableColumn id="2" xr3:uid="{74473C05-FC97-4F29-81E2-110B0C7C02F3}" name="Month No." dataDxfId="7"/>
    <tableColumn id="3" xr3:uid="{9D0186BF-EE87-42F4-99E6-DC0B2D926B7D}" name="Quarter"/>
    <tableColumn id="4" xr3:uid="{5B3384F5-8139-4ED8-9CC5-922418A2F7EF}" name="Product" dataDxfId="6"/>
    <tableColumn id="5" xr3:uid="{E0BB0A4D-2746-425C-B2D0-8BE70AD9D810}" name="Revenue" dataDxfId="5"/>
    <tableColumn id="6" xr3:uid="{9A38512F-A870-4FD8-8148-0A2AB6752CC6}" name="Expenses" dataDxfId="4"/>
    <tableColumn id="7" xr3:uid="{04E5BCC4-5C16-43BF-893B-746EC74592CF}" name="Profit" dataDxfId="3"/>
    <tableColumn id="8" xr3:uid="{B9DB820B-CAA7-4499-84EC-81625C3B8C66}" name="Profit Margin" dataDxfId="2"/>
    <tableColumn id="9" xr3:uid="{4714F67B-756B-4C4E-831D-6D6C829C2237}" name="Expenses Ratio" dataDxfId="1"/>
    <tableColumn id="10" xr3:uid="{741E225B-B1D8-4BF3-803B-0F5BE0BCD5C9}" name="Date" dataDxfId="0"/>
    <tableColumn id="11" xr3:uid="{A162A773-7FEC-40C3-B3FE-F48069F27DBC}" name="Financial Year"/>
  </tableColumns>
  <tableStyleInfo name="TableStyleLight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9"/>
  <sheetViews>
    <sheetView workbookViewId="0">
      <selection activeCell="J17" sqref="J17"/>
    </sheetView>
  </sheetViews>
  <sheetFormatPr defaultRowHeight="14.5" x14ac:dyDescent="0.35"/>
  <cols>
    <col min="1" max="1" width="25.26953125" customWidth="1"/>
    <col min="2" max="2" width="16.7265625" customWidth="1"/>
    <col min="3" max="3" width="15.7265625" customWidth="1"/>
    <col min="5" max="5" width="9.26953125" customWidth="1"/>
    <col min="6" max="6" width="16.1796875" customWidth="1"/>
    <col min="7" max="7" width="17.453125" customWidth="1"/>
  </cols>
  <sheetData>
    <row r="1" spans="1:7" x14ac:dyDescent="0.35">
      <c r="A1" s="1" t="s">
        <v>0</v>
      </c>
      <c r="B1" s="1" t="s">
        <v>1</v>
      </c>
      <c r="C1" s="1" t="s">
        <v>2</v>
      </c>
      <c r="D1" s="1" t="s">
        <v>3</v>
      </c>
      <c r="E1" s="1" t="s">
        <v>4</v>
      </c>
      <c r="F1" s="1" t="s">
        <v>5</v>
      </c>
      <c r="G1" s="1" t="s">
        <v>6</v>
      </c>
    </row>
    <row r="2" spans="1:7" x14ac:dyDescent="0.35">
      <c r="A2" t="s">
        <v>7</v>
      </c>
      <c r="B2" t="s">
        <v>8</v>
      </c>
      <c r="C2">
        <v>10655734</v>
      </c>
      <c r="D2">
        <v>2408508</v>
      </c>
      <c r="E2">
        <v>8247226</v>
      </c>
      <c r="F2" t="s">
        <v>9</v>
      </c>
      <c r="G2">
        <v>2024</v>
      </c>
    </row>
    <row r="3" spans="1:7" x14ac:dyDescent="0.35">
      <c r="A3" t="s">
        <v>10</v>
      </c>
      <c r="B3" t="s">
        <v>11</v>
      </c>
      <c r="C3">
        <v>5297234</v>
      </c>
      <c r="D3">
        <v>3596622</v>
      </c>
      <c r="E3">
        <v>1700612</v>
      </c>
      <c r="F3" t="s">
        <v>12</v>
      </c>
      <c r="G3">
        <v>2025</v>
      </c>
    </row>
    <row r="4" spans="1:7" x14ac:dyDescent="0.35">
      <c r="A4" t="s">
        <v>13</v>
      </c>
      <c r="B4" t="s">
        <v>11</v>
      </c>
      <c r="C4">
        <v>7684666</v>
      </c>
      <c r="D4">
        <v>5053533</v>
      </c>
      <c r="E4">
        <v>2631133</v>
      </c>
      <c r="F4" t="s">
        <v>14</v>
      </c>
      <c r="G4">
        <v>2024</v>
      </c>
    </row>
    <row r="5" spans="1:7" x14ac:dyDescent="0.35">
      <c r="A5" t="s">
        <v>15</v>
      </c>
      <c r="B5" t="s">
        <v>11</v>
      </c>
      <c r="C5">
        <v>9814492</v>
      </c>
      <c r="D5">
        <v>5074629</v>
      </c>
      <c r="E5">
        <v>4739863</v>
      </c>
      <c r="F5" t="s">
        <v>16</v>
      </c>
      <c r="G5">
        <v>2025</v>
      </c>
    </row>
    <row r="6" spans="1:7" x14ac:dyDescent="0.35">
      <c r="A6" t="s">
        <v>17</v>
      </c>
      <c r="B6" t="s">
        <v>11</v>
      </c>
      <c r="C6">
        <v>9814492</v>
      </c>
      <c r="D6">
        <v>5074629</v>
      </c>
      <c r="E6">
        <v>4739863</v>
      </c>
      <c r="F6" t="s">
        <v>18</v>
      </c>
      <c r="G6">
        <v>2025</v>
      </c>
    </row>
    <row r="7" spans="1:7" x14ac:dyDescent="0.35">
      <c r="A7" t="s">
        <v>19</v>
      </c>
      <c r="B7" t="s">
        <v>11</v>
      </c>
      <c r="C7">
        <v>7409657</v>
      </c>
      <c r="D7">
        <v>6271336</v>
      </c>
      <c r="E7">
        <v>1138321</v>
      </c>
      <c r="F7" t="s">
        <v>20</v>
      </c>
      <c r="G7">
        <v>2024</v>
      </c>
    </row>
    <row r="8" spans="1:7" x14ac:dyDescent="0.35">
      <c r="A8" t="s">
        <v>21</v>
      </c>
      <c r="C8" t="s">
        <v>22</v>
      </c>
      <c r="D8">
        <v>3398230</v>
      </c>
      <c r="E8">
        <v>9035148</v>
      </c>
      <c r="F8" t="s">
        <v>23</v>
      </c>
      <c r="G8">
        <v>2025</v>
      </c>
    </row>
    <row r="9" spans="1:7" x14ac:dyDescent="0.35">
      <c r="A9" t="s">
        <v>24</v>
      </c>
      <c r="B9" t="s">
        <v>25</v>
      </c>
      <c r="C9" t="s">
        <v>26</v>
      </c>
      <c r="D9" t="s">
        <v>27</v>
      </c>
      <c r="E9" t="s">
        <v>28</v>
      </c>
      <c r="F9" t="s">
        <v>29</v>
      </c>
      <c r="G9">
        <v>2025</v>
      </c>
    </row>
    <row r="10" spans="1:7" x14ac:dyDescent="0.35">
      <c r="A10" t="s">
        <v>30</v>
      </c>
      <c r="B10" t="s">
        <v>11</v>
      </c>
      <c r="C10">
        <v>2093322</v>
      </c>
      <c r="D10">
        <v>846252</v>
      </c>
      <c r="E10">
        <v>1247070</v>
      </c>
      <c r="F10" t="s">
        <v>31</v>
      </c>
      <c r="G10">
        <v>2025</v>
      </c>
    </row>
    <row r="11" spans="1:7" x14ac:dyDescent="0.35">
      <c r="A11" t="s">
        <v>10</v>
      </c>
      <c r="B11" t="s">
        <v>8</v>
      </c>
      <c r="C11">
        <v>9406634</v>
      </c>
      <c r="D11">
        <v>1310092</v>
      </c>
      <c r="E11">
        <v>8096542</v>
      </c>
      <c r="F11" t="s">
        <v>32</v>
      </c>
      <c r="G11">
        <v>2024</v>
      </c>
    </row>
    <row r="12" spans="1:7" x14ac:dyDescent="0.35">
      <c r="A12" t="s">
        <v>33</v>
      </c>
      <c r="B12" t="s">
        <v>11</v>
      </c>
      <c r="C12">
        <v>10932582</v>
      </c>
      <c r="D12" t="s">
        <v>34</v>
      </c>
      <c r="E12" t="s">
        <v>35</v>
      </c>
      <c r="F12" t="s">
        <v>36</v>
      </c>
      <c r="G12">
        <v>2024</v>
      </c>
    </row>
    <row r="13" spans="1:7" x14ac:dyDescent="0.35">
      <c r="A13" t="s">
        <v>30</v>
      </c>
      <c r="B13" t="s">
        <v>11</v>
      </c>
      <c r="C13">
        <v>2093322</v>
      </c>
      <c r="D13">
        <v>846252</v>
      </c>
      <c r="E13">
        <v>1247070</v>
      </c>
      <c r="F13" t="s">
        <v>37</v>
      </c>
      <c r="G13">
        <v>2025</v>
      </c>
    </row>
    <row r="14" spans="1:7" x14ac:dyDescent="0.35">
      <c r="A14" t="s">
        <v>38</v>
      </c>
      <c r="B14" t="s">
        <v>39</v>
      </c>
      <c r="C14">
        <v>8925622</v>
      </c>
      <c r="D14">
        <v>7859625</v>
      </c>
      <c r="E14">
        <v>1065997</v>
      </c>
      <c r="F14" t="s">
        <v>40</v>
      </c>
      <c r="G14">
        <v>2025</v>
      </c>
    </row>
    <row r="15" spans="1:7" x14ac:dyDescent="0.35">
      <c r="A15" t="s">
        <v>19</v>
      </c>
      <c r="B15" t="s">
        <v>11</v>
      </c>
      <c r="C15">
        <v>7409657</v>
      </c>
      <c r="D15">
        <v>6271336</v>
      </c>
      <c r="E15">
        <v>1138321</v>
      </c>
      <c r="F15" t="s">
        <v>41</v>
      </c>
      <c r="G15">
        <v>2024</v>
      </c>
    </row>
    <row r="16" spans="1:7" x14ac:dyDescent="0.35">
      <c r="A16" t="s">
        <v>33</v>
      </c>
      <c r="B16" t="s">
        <v>11</v>
      </c>
      <c r="C16">
        <v>10932582</v>
      </c>
      <c r="D16">
        <v>9516586</v>
      </c>
      <c r="E16">
        <v>1415996</v>
      </c>
      <c r="F16" t="s">
        <v>42</v>
      </c>
      <c r="G16">
        <v>2024</v>
      </c>
    </row>
    <row r="17" spans="1:7" x14ac:dyDescent="0.35">
      <c r="A17" t="s">
        <v>43</v>
      </c>
      <c r="B17" t="s">
        <v>8</v>
      </c>
      <c r="C17" t="s">
        <v>44</v>
      </c>
      <c r="D17">
        <v>7049977</v>
      </c>
      <c r="E17">
        <v>2116792</v>
      </c>
      <c r="F17" t="s">
        <v>45</v>
      </c>
      <c r="G17">
        <v>2024</v>
      </c>
    </row>
    <row r="18" spans="1:7" x14ac:dyDescent="0.35">
      <c r="A18" t="s">
        <v>38</v>
      </c>
      <c r="B18" t="s">
        <v>11</v>
      </c>
      <c r="C18">
        <v>3115955</v>
      </c>
      <c r="D18">
        <v>2888010</v>
      </c>
      <c r="E18">
        <v>227945</v>
      </c>
      <c r="F18" t="s">
        <v>46</v>
      </c>
      <c r="G18">
        <v>2024</v>
      </c>
    </row>
    <row r="19" spans="1:7" x14ac:dyDescent="0.35">
      <c r="A19" t="s">
        <v>47</v>
      </c>
      <c r="B19" t="s">
        <v>11</v>
      </c>
      <c r="C19">
        <v>10887632</v>
      </c>
      <c r="D19">
        <v>3314932</v>
      </c>
      <c r="E19">
        <v>7572700</v>
      </c>
      <c r="F19" t="s">
        <v>48</v>
      </c>
      <c r="G19">
        <v>2025</v>
      </c>
    </row>
    <row r="20" spans="1:7" x14ac:dyDescent="0.35">
      <c r="A20" t="s">
        <v>7</v>
      </c>
      <c r="B20" t="s">
        <v>11</v>
      </c>
      <c r="C20">
        <v>6629660</v>
      </c>
      <c r="D20">
        <v>3523400</v>
      </c>
      <c r="E20">
        <v>3106260</v>
      </c>
      <c r="F20" t="s">
        <v>49</v>
      </c>
      <c r="G20">
        <v>2024</v>
      </c>
    </row>
    <row r="21" spans="1:7" x14ac:dyDescent="0.35">
      <c r="A21" t="s">
        <v>50</v>
      </c>
      <c r="B21" t="s">
        <v>11</v>
      </c>
      <c r="C21">
        <v>9869633</v>
      </c>
      <c r="D21">
        <v>8708702</v>
      </c>
      <c r="E21">
        <v>1160931</v>
      </c>
      <c r="F21" t="s">
        <v>51</v>
      </c>
      <c r="G21">
        <v>2024</v>
      </c>
    </row>
    <row r="22" spans="1:7" x14ac:dyDescent="0.35">
      <c r="A22" t="s">
        <v>30</v>
      </c>
      <c r="B22" t="s">
        <v>11</v>
      </c>
      <c r="C22" t="s">
        <v>52</v>
      </c>
      <c r="D22" t="s">
        <v>53</v>
      </c>
      <c r="E22">
        <v>1247070</v>
      </c>
      <c r="F22" t="s">
        <v>54</v>
      </c>
      <c r="G22">
        <v>2024</v>
      </c>
    </row>
    <row r="23" spans="1:7" x14ac:dyDescent="0.35">
      <c r="A23" t="s">
        <v>55</v>
      </c>
      <c r="B23" t="s">
        <v>11</v>
      </c>
      <c r="C23">
        <v>6629660</v>
      </c>
      <c r="D23">
        <v>3523400</v>
      </c>
      <c r="E23">
        <v>3106260</v>
      </c>
      <c r="F23" t="s">
        <v>56</v>
      </c>
      <c r="G23">
        <v>2025</v>
      </c>
    </row>
    <row r="24" spans="1:7" x14ac:dyDescent="0.35">
      <c r="A24" t="s">
        <v>21</v>
      </c>
      <c r="B24" t="s">
        <v>25</v>
      </c>
      <c r="C24">
        <v>12433378</v>
      </c>
      <c r="D24">
        <v>3398230</v>
      </c>
      <c r="E24">
        <v>9035148</v>
      </c>
      <c r="F24" t="s">
        <v>57</v>
      </c>
      <c r="G24">
        <v>2025</v>
      </c>
    </row>
    <row r="25" spans="1:7" x14ac:dyDescent="0.35">
      <c r="A25" t="s">
        <v>10</v>
      </c>
      <c r="B25" t="s">
        <v>11</v>
      </c>
      <c r="C25">
        <v>5297234</v>
      </c>
      <c r="D25">
        <v>3596622</v>
      </c>
      <c r="E25">
        <v>1700612</v>
      </c>
      <c r="F25" t="s">
        <v>58</v>
      </c>
      <c r="G25">
        <v>2025</v>
      </c>
    </row>
    <row r="26" spans="1:7" x14ac:dyDescent="0.35">
      <c r="A26" t="s">
        <v>47</v>
      </c>
      <c r="B26" t="s">
        <v>25</v>
      </c>
      <c r="C26">
        <v>9166769</v>
      </c>
      <c r="D26">
        <v>7049977</v>
      </c>
      <c r="E26">
        <v>2116792</v>
      </c>
      <c r="F26" t="s">
        <v>59</v>
      </c>
      <c r="G26">
        <v>2024</v>
      </c>
    </row>
    <row r="27" spans="1:7" x14ac:dyDescent="0.35">
      <c r="A27" t="s">
        <v>24</v>
      </c>
      <c r="B27" t="s">
        <v>11</v>
      </c>
      <c r="C27">
        <v>7713630</v>
      </c>
      <c r="D27">
        <v>1832250</v>
      </c>
      <c r="E27">
        <v>5881380</v>
      </c>
      <c r="F27" t="s">
        <v>60</v>
      </c>
      <c r="G27">
        <v>2025</v>
      </c>
    </row>
    <row r="28" spans="1:7" x14ac:dyDescent="0.35">
      <c r="A28" t="s">
        <v>38</v>
      </c>
      <c r="B28" t="s">
        <v>11</v>
      </c>
      <c r="C28" t="s">
        <v>61</v>
      </c>
      <c r="D28">
        <v>2888010</v>
      </c>
      <c r="E28">
        <v>227945</v>
      </c>
      <c r="F28" t="s">
        <v>62</v>
      </c>
      <c r="G28">
        <v>2025</v>
      </c>
    </row>
    <row r="29" spans="1:7" x14ac:dyDescent="0.35">
      <c r="A29" t="s">
        <v>33</v>
      </c>
      <c r="B29" t="s">
        <v>25</v>
      </c>
      <c r="C29">
        <v>17772619</v>
      </c>
      <c r="D29">
        <v>3751148</v>
      </c>
      <c r="E29">
        <v>14021471</v>
      </c>
      <c r="F29" t="s">
        <v>63</v>
      </c>
      <c r="G29">
        <v>2025</v>
      </c>
    </row>
    <row r="30" spans="1:7" x14ac:dyDescent="0.35">
      <c r="A30" t="s">
        <v>33</v>
      </c>
      <c r="B30" t="s">
        <v>25</v>
      </c>
      <c r="C30" t="s">
        <v>64</v>
      </c>
      <c r="D30">
        <v>3751148</v>
      </c>
      <c r="E30">
        <v>14021471</v>
      </c>
      <c r="F30" t="s">
        <v>65</v>
      </c>
      <c r="G30">
        <v>2025</v>
      </c>
    </row>
    <row r="31" spans="1:7" x14ac:dyDescent="0.35">
      <c r="A31" t="s">
        <v>50</v>
      </c>
      <c r="B31" t="s">
        <v>11</v>
      </c>
      <c r="C31">
        <v>9869633</v>
      </c>
      <c r="D31">
        <v>8708702</v>
      </c>
      <c r="E31">
        <v>1160931</v>
      </c>
      <c r="F31" t="s">
        <v>66</v>
      </c>
      <c r="G31">
        <v>2024</v>
      </c>
    </row>
    <row r="32" spans="1:7" x14ac:dyDescent="0.35">
      <c r="A32" t="s">
        <v>15</v>
      </c>
      <c r="B32" t="s">
        <v>25</v>
      </c>
      <c r="C32">
        <v>13395142</v>
      </c>
      <c r="D32">
        <v>3866714</v>
      </c>
      <c r="E32">
        <v>9528428</v>
      </c>
      <c r="F32" t="s">
        <v>67</v>
      </c>
      <c r="G32">
        <v>2025</v>
      </c>
    </row>
    <row r="33" spans="1:7" x14ac:dyDescent="0.35">
      <c r="A33" t="s">
        <v>38</v>
      </c>
      <c r="B33" t="s">
        <v>68</v>
      </c>
      <c r="C33">
        <v>3115955</v>
      </c>
      <c r="D33">
        <v>2888010</v>
      </c>
      <c r="E33">
        <v>227945</v>
      </c>
      <c r="F33" t="s">
        <v>69</v>
      </c>
      <c r="G33">
        <v>2024</v>
      </c>
    </row>
    <row r="34" spans="1:7" x14ac:dyDescent="0.35">
      <c r="A34" t="s">
        <v>24</v>
      </c>
      <c r="B34" t="s">
        <v>11</v>
      </c>
      <c r="C34">
        <v>7713630</v>
      </c>
      <c r="D34">
        <v>1832250</v>
      </c>
      <c r="E34">
        <v>5881380</v>
      </c>
      <c r="F34" t="s">
        <v>70</v>
      </c>
      <c r="G34">
        <v>2024</v>
      </c>
    </row>
    <row r="35" spans="1:7" x14ac:dyDescent="0.35">
      <c r="A35" t="s">
        <v>71</v>
      </c>
      <c r="B35" t="s">
        <v>25</v>
      </c>
      <c r="C35">
        <v>13243123</v>
      </c>
      <c r="D35" t="s">
        <v>72</v>
      </c>
      <c r="E35">
        <v>7774695</v>
      </c>
      <c r="F35" t="s">
        <v>73</v>
      </c>
      <c r="G35">
        <v>2025</v>
      </c>
    </row>
    <row r="36" spans="1:7" x14ac:dyDescent="0.35">
      <c r="A36" t="s">
        <v>10</v>
      </c>
      <c r="B36" t="s">
        <v>74</v>
      </c>
      <c r="C36">
        <v>9406634</v>
      </c>
      <c r="D36">
        <v>1310092</v>
      </c>
      <c r="E36">
        <v>8096542</v>
      </c>
      <c r="F36" t="s">
        <v>75</v>
      </c>
      <c r="G36">
        <v>2025</v>
      </c>
    </row>
    <row r="37" spans="1:7" x14ac:dyDescent="0.35">
      <c r="A37" t="s">
        <v>43</v>
      </c>
      <c r="B37" t="s">
        <v>11</v>
      </c>
      <c r="C37">
        <v>10887632</v>
      </c>
      <c r="D37">
        <v>3314932</v>
      </c>
      <c r="E37">
        <v>7572700</v>
      </c>
      <c r="F37" t="s">
        <v>76</v>
      </c>
      <c r="G37">
        <v>2025</v>
      </c>
    </row>
    <row r="38" spans="1:7" x14ac:dyDescent="0.35">
      <c r="A38" t="s">
        <v>30</v>
      </c>
      <c r="B38" t="s">
        <v>25</v>
      </c>
      <c r="C38">
        <v>13243123</v>
      </c>
      <c r="D38">
        <v>5468428</v>
      </c>
      <c r="E38">
        <v>7774695</v>
      </c>
      <c r="F38" t="s">
        <v>77</v>
      </c>
      <c r="G38">
        <v>2025</v>
      </c>
    </row>
    <row r="39" spans="1:7" x14ac:dyDescent="0.35">
      <c r="A39" t="s">
        <v>30</v>
      </c>
      <c r="B39" t="s">
        <v>25</v>
      </c>
      <c r="C39">
        <v>13243123</v>
      </c>
      <c r="D39">
        <v>5468428</v>
      </c>
      <c r="E39">
        <v>7774695</v>
      </c>
      <c r="F39" t="s">
        <v>78</v>
      </c>
      <c r="G39">
        <v>2024</v>
      </c>
    </row>
    <row r="40" spans="1:7" x14ac:dyDescent="0.35">
      <c r="A40" t="s">
        <v>13</v>
      </c>
      <c r="B40" t="s">
        <v>25</v>
      </c>
      <c r="C40">
        <v>13395811</v>
      </c>
      <c r="D40" t="s">
        <v>79</v>
      </c>
      <c r="E40">
        <v>5285894</v>
      </c>
      <c r="F40" t="s">
        <v>80</v>
      </c>
      <c r="G40">
        <v>2025</v>
      </c>
    </row>
    <row r="41" spans="1:7" x14ac:dyDescent="0.35">
      <c r="A41" t="s">
        <v>81</v>
      </c>
      <c r="B41" t="s">
        <v>25</v>
      </c>
      <c r="C41">
        <v>6659621</v>
      </c>
      <c r="D41">
        <v>5718412</v>
      </c>
      <c r="E41">
        <v>941209</v>
      </c>
      <c r="F41" t="s">
        <v>46</v>
      </c>
      <c r="G41">
        <v>2024</v>
      </c>
    </row>
    <row r="42" spans="1:7" x14ac:dyDescent="0.35">
      <c r="A42" t="s">
        <v>47</v>
      </c>
      <c r="B42" t="s">
        <v>25</v>
      </c>
      <c r="C42">
        <v>9166769</v>
      </c>
      <c r="D42">
        <v>7049977</v>
      </c>
      <c r="E42">
        <v>2116792</v>
      </c>
      <c r="F42" t="s">
        <v>82</v>
      </c>
      <c r="G42">
        <v>2024</v>
      </c>
    </row>
    <row r="43" spans="1:7" x14ac:dyDescent="0.35">
      <c r="A43" t="s">
        <v>13</v>
      </c>
      <c r="B43" t="s">
        <v>25</v>
      </c>
      <c r="C43">
        <v>13395811</v>
      </c>
      <c r="D43">
        <v>8109917</v>
      </c>
      <c r="E43">
        <v>5285894</v>
      </c>
      <c r="F43" t="s">
        <v>83</v>
      </c>
      <c r="G43">
        <v>2025</v>
      </c>
    </row>
    <row r="44" spans="1:7" x14ac:dyDescent="0.35">
      <c r="A44" t="s">
        <v>13</v>
      </c>
      <c r="B44" t="s">
        <v>25</v>
      </c>
      <c r="C44">
        <v>13395811</v>
      </c>
      <c r="D44">
        <v>8109917</v>
      </c>
      <c r="E44">
        <v>5285894</v>
      </c>
      <c r="F44" t="s">
        <v>84</v>
      </c>
      <c r="G44">
        <v>2025</v>
      </c>
    </row>
    <row r="45" spans="1:7" x14ac:dyDescent="0.35">
      <c r="A45" t="s">
        <v>19</v>
      </c>
      <c r="B45" t="s">
        <v>11</v>
      </c>
      <c r="C45">
        <v>7409657</v>
      </c>
      <c r="D45">
        <v>6271336</v>
      </c>
      <c r="E45">
        <v>1138321</v>
      </c>
      <c r="G45">
        <v>2024</v>
      </c>
    </row>
    <row r="46" spans="1:7" x14ac:dyDescent="0.35">
      <c r="A46" t="s">
        <v>21</v>
      </c>
      <c r="B46" t="s">
        <v>25</v>
      </c>
      <c r="C46">
        <v>12433378</v>
      </c>
      <c r="D46">
        <v>3398230</v>
      </c>
      <c r="E46">
        <v>9035148</v>
      </c>
      <c r="F46" t="s">
        <v>85</v>
      </c>
      <c r="G46">
        <v>2024</v>
      </c>
    </row>
    <row r="47" spans="1:7" x14ac:dyDescent="0.35">
      <c r="A47" t="s">
        <v>38</v>
      </c>
      <c r="B47" t="s">
        <v>25</v>
      </c>
      <c r="C47">
        <v>8925622</v>
      </c>
      <c r="D47">
        <v>7859625</v>
      </c>
      <c r="E47">
        <v>1065997</v>
      </c>
      <c r="F47" t="s">
        <v>86</v>
      </c>
      <c r="G47">
        <v>2025</v>
      </c>
    </row>
    <row r="48" spans="1:7" x14ac:dyDescent="0.35">
      <c r="A48" t="s">
        <v>7</v>
      </c>
      <c r="B48" t="s">
        <v>8</v>
      </c>
      <c r="C48">
        <v>10655734</v>
      </c>
      <c r="D48">
        <v>2408508</v>
      </c>
      <c r="E48">
        <v>8247226</v>
      </c>
      <c r="F48" t="s">
        <v>87</v>
      </c>
      <c r="G48">
        <v>2024</v>
      </c>
    </row>
    <row r="49" spans="1:7" x14ac:dyDescent="0.35">
      <c r="A49" t="s">
        <v>88</v>
      </c>
      <c r="B49" t="s">
        <v>25</v>
      </c>
      <c r="C49">
        <v>12433378</v>
      </c>
      <c r="D49" t="s">
        <v>89</v>
      </c>
      <c r="E49">
        <v>9035148</v>
      </c>
      <c r="F49" t="s">
        <v>90</v>
      </c>
      <c r="G49">
        <v>2024</v>
      </c>
    </row>
    <row r="50" spans="1:7" x14ac:dyDescent="0.35">
      <c r="A50" t="s">
        <v>91</v>
      </c>
      <c r="B50" t="s">
        <v>25</v>
      </c>
      <c r="C50">
        <v>13395142</v>
      </c>
      <c r="D50">
        <v>3866714</v>
      </c>
      <c r="E50">
        <v>9528428</v>
      </c>
      <c r="F50" t="s">
        <v>92</v>
      </c>
      <c r="G50">
        <v>2025</v>
      </c>
    </row>
    <row r="51" spans="1:7" x14ac:dyDescent="0.35">
      <c r="A51" t="s">
        <v>13</v>
      </c>
      <c r="B51" t="s">
        <v>25</v>
      </c>
      <c r="C51">
        <v>13395811</v>
      </c>
      <c r="D51">
        <v>8109917</v>
      </c>
      <c r="E51">
        <v>5285894</v>
      </c>
      <c r="F51" t="s">
        <v>83</v>
      </c>
      <c r="G51">
        <v>2025</v>
      </c>
    </row>
    <row r="52" spans="1:7" x14ac:dyDescent="0.35">
      <c r="A52" t="s">
        <v>15</v>
      </c>
      <c r="B52" t="s">
        <v>25</v>
      </c>
      <c r="C52">
        <v>13395142</v>
      </c>
      <c r="D52">
        <v>3866714</v>
      </c>
      <c r="E52">
        <v>9528428</v>
      </c>
      <c r="F52" t="s">
        <v>90</v>
      </c>
      <c r="G52">
        <v>2024</v>
      </c>
    </row>
    <row r="53" spans="1:7" x14ac:dyDescent="0.35">
      <c r="A53" t="s">
        <v>19</v>
      </c>
      <c r="B53" t="s">
        <v>11</v>
      </c>
      <c r="C53">
        <v>7409657</v>
      </c>
      <c r="D53">
        <v>6271336</v>
      </c>
      <c r="E53">
        <v>1138321</v>
      </c>
      <c r="F53" t="s">
        <v>93</v>
      </c>
      <c r="G53">
        <v>2024</v>
      </c>
    </row>
    <row r="54" spans="1:7" x14ac:dyDescent="0.35">
      <c r="A54" t="s">
        <v>10</v>
      </c>
      <c r="B54" t="s">
        <v>25</v>
      </c>
      <c r="C54">
        <v>9406634</v>
      </c>
      <c r="D54">
        <v>1310092</v>
      </c>
      <c r="E54">
        <v>8096542</v>
      </c>
      <c r="F54" t="s">
        <v>94</v>
      </c>
      <c r="G54">
        <v>2024</v>
      </c>
    </row>
    <row r="55" spans="1:7" x14ac:dyDescent="0.35">
      <c r="A55" t="s">
        <v>33</v>
      </c>
      <c r="B55" t="s">
        <v>68</v>
      </c>
      <c r="C55">
        <v>10932582</v>
      </c>
      <c r="D55" t="s">
        <v>34</v>
      </c>
      <c r="E55">
        <v>1415996</v>
      </c>
      <c r="F55" t="s">
        <v>95</v>
      </c>
      <c r="G55">
        <v>2025</v>
      </c>
    </row>
    <row r="56" spans="1:7" x14ac:dyDescent="0.35">
      <c r="A56" t="s">
        <v>47</v>
      </c>
      <c r="B56" t="s">
        <v>25</v>
      </c>
      <c r="C56">
        <v>9166769</v>
      </c>
      <c r="D56">
        <v>7049977</v>
      </c>
      <c r="E56" t="s">
        <v>96</v>
      </c>
      <c r="F56" t="s">
        <v>97</v>
      </c>
      <c r="G56">
        <v>2025</v>
      </c>
    </row>
    <row r="57" spans="1:7" x14ac:dyDescent="0.35">
      <c r="A57" t="s">
        <v>24</v>
      </c>
      <c r="B57" t="s">
        <v>11</v>
      </c>
      <c r="C57">
        <v>7713630</v>
      </c>
      <c r="D57">
        <v>1832250</v>
      </c>
      <c r="E57">
        <v>5881380</v>
      </c>
      <c r="F57" t="s">
        <v>98</v>
      </c>
      <c r="G57">
        <v>2025</v>
      </c>
    </row>
    <row r="58" spans="1:7" x14ac:dyDescent="0.35">
      <c r="A58" t="s">
        <v>13</v>
      </c>
      <c r="B58" t="s">
        <v>11</v>
      </c>
      <c r="C58">
        <v>7684666</v>
      </c>
      <c r="D58">
        <v>5053533</v>
      </c>
      <c r="E58" t="s">
        <v>99</v>
      </c>
      <c r="F58" t="s">
        <v>100</v>
      </c>
      <c r="G58">
        <v>2024</v>
      </c>
    </row>
    <row r="59" spans="1:7" x14ac:dyDescent="0.35">
      <c r="A59" t="s">
        <v>24</v>
      </c>
      <c r="B59" t="s">
        <v>25</v>
      </c>
      <c r="C59">
        <v>6659621</v>
      </c>
      <c r="D59">
        <v>5718412</v>
      </c>
      <c r="E59">
        <v>941209</v>
      </c>
      <c r="F59" t="s">
        <v>101</v>
      </c>
      <c r="G59">
        <v>2024</v>
      </c>
    </row>
    <row r="60" spans="1:7" x14ac:dyDescent="0.35">
      <c r="B60" t="s">
        <v>102</v>
      </c>
      <c r="C60">
        <v>6641746</v>
      </c>
      <c r="D60">
        <v>2466037</v>
      </c>
      <c r="E60">
        <v>4175709</v>
      </c>
      <c r="F60" t="s">
        <v>103</v>
      </c>
      <c r="G60">
        <v>2025</v>
      </c>
    </row>
    <row r="61" spans="1:7" x14ac:dyDescent="0.35">
      <c r="A61" t="s">
        <v>13</v>
      </c>
      <c r="B61" t="s">
        <v>25</v>
      </c>
      <c r="C61">
        <v>13395811</v>
      </c>
      <c r="D61">
        <v>8109917</v>
      </c>
      <c r="E61">
        <v>5285894</v>
      </c>
      <c r="F61" t="s">
        <v>104</v>
      </c>
      <c r="G61">
        <v>2025</v>
      </c>
    </row>
    <row r="62" spans="1:7" x14ac:dyDescent="0.35">
      <c r="A62" t="s">
        <v>21</v>
      </c>
      <c r="B62" t="s">
        <v>25</v>
      </c>
      <c r="C62">
        <v>12433378</v>
      </c>
      <c r="D62" t="s">
        <v>89</v>
      </c>
      <c r="E62">
        <v>9035148</v>
      </c>
      <c r="F62" t="s">
        <v>105</v>
      </c>
      <c r="G62">
        <v>2025</v>
      </c>
    </row>
    <row r="63" spans="1:7" x14ac:dyDescent="0.35">
      <c r="A63" t="s">
        <v>13</v>
      </c>
      <c r="B63" t="s">
        <v>11</v>
      </c>
      <c r="C63">
        <v>7684666</v>
      </c>
      <c r="D63">
        <v>5053533</v>
      </c>
      <c r="E63">
        <v>2631133</v>
      </c>
      <c r="F63" t="s">
        <v>106</v>
      </c>
      <c r="G63">
        <v>2024</v>
      </c>
    </row>
    <row r="64" spans="1:7" x14ac:dyDescent="0.35">
      <c r="A64" t="s">
        <v>19</v>
      </c>
      <c r="B64" t="s">
        <v>25</v>
      </c>
      <c r="C64">
        <v>17872796</v>
      </c>
      <c r="D64">
        <v>4065021</v>
      </c>
      <c r="E64">
        <v>13807775</v>
      </c>
      <c r="F64" t="s">
        <v>107</v>
      </c>
      <c r="G64">
        <v>2024</v>
      </c>
    </row>
    <row r="65" spans="1:7" x14ac:dyDescent="0.35">
      <c r="A65" t="s">
        <v>33</v>
      </c>
      <c r="B65" t="s">
        <v>39</v>
      </c>
      <c r="C65">
        <v>17772619</v>
      </c>
      <c r="D65">
        <v>3751148</v>
      </c>
      <c r="E65" t="s">
        <v>108</v>
      </c>
      <c r="F65" t="s">
        <v>109</v>
      </c>
      <c r="G65">
        <v>2024</v>
      </c>
    </row>
    <row r="66" spans="1:7" x14ac:dyDescent="0.35">
      <c r="A66" t="s">
        <v>21</v>
      </c>
      <c r="B66" t="s">
        <v>25</v>
      </c>
      <c r="C66">
        <v>12433378</v>
      </c>
      <c r="D66">
        <v>3398230</v>
      </c>
      <c r="E66">
        <v>9035148</v>
      </c>
      <c r="F66" t="s">
        <v>110</v>
      </c>
      <c r="G66">
        <v>2024</v>
      </c>
    </row>
    <row r="67" spans="1:7" x14ac:dyDescent="0.35">
      <c r="A67" t="s">
        <v>10</v>
      </c>
      <c r="B67" t="s">
        <v>11</v>
      </c>
      <c r="C67">
        <v>5297234</v>
      </c>
      <c r="D67" t="s">
        <v>111</v>
      </c>
      <c r="E67">
        <v>1700612</v>
      </c>
      <c r="F67" t="s">
        <v>112</v>
      </c>
      <c r="G67">
        <v>2024</v>
      </c>
    </row>
    <row r="68" spans="1:7" x14ac:dyDescent="0.35">
      <c r="A68" t="s">
        <v>55</v>
      </c>
      <c r="B68" t="s">
        <v>11</v>
      </c>
      <c r="C68">
        <v>6629660</v>
      </c>
      <c r="D68">
        <v>3523400</v>
      </c>
      <c r="E68">
        <v>3106260</v>
      </c>
      <c r="F68" t="s">
        <v>113</v>
      </c>
      <c r="G68">
        <v>2025</v>
      </c>
    </row>
    <row r="69" spans="1:7" x14ac:dyDescent="0.35">
      <c r="A69" t="s">
        <v>7</v>
      </c>
      <c r="B69" t="s">
        <v>11</v>
      </c>
      <c r="C69">
        <v>6629660</v>
      </c>
      <c r="D69">
        <v>3523400</v>
      </c>
      <c r="E69">
        <v>3106260</v>
      </c>
      <c r="F69" t="s">
        <v>114</v>
      </c>
      <c r="G69">
        <v>2024</v>
      </c>
    </row>
    <row r="70" spans="1:7" x14ac:dyDescent="0.35">
      <c r="A70" t="s">
        <v>15</v>
      </c>
      <c r="B70" t="s">
        <v>25</v>
      </c>
      <c r="C70">
        <v>13395142</v>
      </c>
      <c r="D70">
        <v>3866714</v>
      </c>
      <c r="E70">
        <v>9528428</v>
      </c>
      <c r="F70" t="s">
        <v>115</v>
      </c>
      <c r="G70">
        <v>2024</v>
      </c>
    </row>
    <row r="71" spans="1:7" x14ac:dyDescent="0.35">
      <c r="A71" t="s">
        <v>24</v>
      </c>
      <c r="B71" t="s">
        <v>8</v>
      </c>
      <c r="C71">
        <v>6659621</v>
      </c>
      <c r="D71">
        <v>5718412</v>
      </c>
      <c r="E71">
        <v>941209</v>
      </c>
      <c r="F71" t="s">
        <v>116</v>
      </c>
      <c r="G71">
        <v>2025</v>
      </c>
    </row>
    <row r="72" spans="1:7" x14ac:dyDescent="0.35">
      <c r="A72" t="s">
        <v>10</v>
      </c>
      <c r="B72" t="s">
        <v>11</v>
      </c>
      <c r="C72" t="s">
        <v>117</v>
      </c>
      <c r="D72">
        <v>3596622</v>
      </c>
      <c r="E72">
        <v>1700612</v>
      </c>
      <c r="F72" t="s">
        <v>118</v>
      </c>
      <c r="G72">
        <v>2024</v>
      </c>
    </row>
    <row r="73" spans="1:7" x14ac:dyDescent="0.35">
      <c r="A73" t="s">
        <v>47</v>
      </c>
      <c r="B73" t="s">
        <v>11</v>
      </c>
      <c r="C73" t="s">
        <v>119</v>
      </c>
      <c r="D73">
        <v>3314932</v>
      </c>
      <c r="E73">
        <v>7572700</v>
      </c>
      <c r="F73" t="s">
        <v>120</v>
      </c>
      <c r="G73">
        <v>2024</v>
      </c>
    </row>
    <row r="74" spans="1:7" x14ac:dyDescent="0.35">
      <c r="A74" t="s">
        <v>47</v>
      </c>
      <c r="B74" t="s">
        <v>25</v>
      </c>
      <c r="C74">
        <v>9166769</v>
      </c>
      <c r="D74">
        <v>7049977</v>
      </c>
      <c r="E74">
        <v>2116792</v>
      </c>
      <c r="F74" t="s">
        <v>121</v>
      </c>
      <c r="G74">
        <v>2024</v>
      </c>
    </row>
    <row r="75" spans="1:7" x14ac:dyDescent="0.35">
      <c r="A75" t="s">
        <v>13</v>
      </c>
      <c r="B75" t="s">
        <v>25</v>
      </c>
      <c r="C75" t="s">
        <v>122</v>
      </c>
      <c r="D75">
        <v>8109917</v>
      </c>
      <c r="E75">
        <v>5285894</v>
      </c>
      <c r="F75" t="s">
        <v>123</v>
      </c>
      <c r="G75">
        <v>2024</v>
      </c>
    </row>
    <row r="76" spans="1:7" x14ac:dyDescent="0.35">
      <c r="A76" t="s">
        <v>13</v>
      </c>
      <c r="B76" t="s">
        <v>25</v>
      </c>
      <c r="C76">
        <v>13395811</v>
      </c>
      <c r="D76">
        <v>8109917</v>
      </c>
      <c r="E76">
        <v>5285894</v>
      </c>
      <c r="F76" t="s">
        <v>124</v>
      </c>
      <c r="G76">
        <v>2025</v>
      </c>
    </row>
    <row r="77" spans="1:7" x14ac:dyDescent="0.35">
      <c r="A77" t="s">
        <v>33</v>
      </c>
      <c r="B77" t="s">
        <v>11</v>
      </c>
      <c r="C77">
        <v>10932582</v>
      </c>
      <c r="D77">
        <v>9516586</v>
      </c>
      <c r="E77">
        <v>1415996</v>
      </c>
      <c r="F77" t="s">
        <v>125</v>
      </c>
      <c r="G77">
        <v>2025</v>
      </c>
    </row>
    <row r="78" spans="1:7" x14ac:dyDescent="0.35">
      <c r="A78" t="s">
        <v>33</v>
      </c>
      <c r="B78" t="s">
        <v>25</v>
      </c>
      <c r="C78">
        <v>17772619</v>
      </c>
      <c r="D78">
        <v>3751148</v>
      </c>
      <c r="E78">
        <v>14021471</v>
      </c>
      <c r="F78" t="s">
        <v>126</v>
      </c>
      <c r="G78">
        <v>2025</v>
      </c>
    </row>
    <row r="79" spans="1:7" x14ac:dyDescent="0.35">
      <c r="A79" t="s">
        <v>7</v>
      </c>
      <c r="B79" t="s">
        <v>11</v>
      </c>
      <c r="C79">
        <v>6629660</v>
      </c>
      <c r="D79">
        <v>3523400</v>
      </c>
      <c r="E79" t="s">
        <v>127</v>
      </c>
      <c r="F79" t="s">
        <v>128</v>
      </c>
      <c r="G79">
        <v>2024</v>
      </c>
    </row>
    <row r="80" spans="1:7" x14ac:dyDescent="0.35">
      <c r="A80" t="s">
        <v>50</v>
      </c>
      <c r="B80" t="s">
        <v>25</v>
      </c>
      <c r="C80">
        <v>10422659</v>
      </c>
      <c r="D80">
        <v>8777125</v>
      </c>
      <c r="E80">
        <v>1645534</v>
      </c>
      <c r="F80" t="s">
        <v>129</v>
      </c>
      <c r="G80">
        <v>2025</v>
      </c>
    </row>
    <row r="81" spans="1:7" x14ac:dyDescent="0.35">
      <c r="A81" t="s">
        <v>30</v>
      </c>
      <c r="B81" t="s">
        <v>25</v>
      </c>
      <c r="C81">
        <v>13243123</v>
      </c>
      <c r="D81">
        <v>5468428</v>
      </c>
      <c r="E81">
        <v>7774695</v>
      </c>
      <c r="F81" t="s">
        <v>130</v>
      </c>
      <c r="G81">
        <v>2025</v>
      </c>
    </row>
    <row r="82" spans="1:7" x14ac:dyDescent="0.35">
      <c r="A82" t="s">
        <v>33</v>
      </c>
      <c r="B82" t="s">
        <v>11</v>
      </c>
      <c r="C82">
        <v>10932582</v>
      </c>
      <c r="D82">
        <v>9516586</v>
      </c>
      <c r="E82">
        <v>1415996</v>
      </c>
      <c r="F82" t="s">
        <v>131</v>
      </c>
      <c r="G82">
        <v>2025</v>
      </c>
    </row>
    <row r="83" spans="1:7" x14ac:dyDescent="0.35">
      <c r="A83" t="s">
        <v>132</v>
      </c>
      <c r="B83" t="s">
        <v>11</v>
      </c>
      <c r="C83">
        <v>10932582</v>
      </c>
      <c r="D83">
        <v>9516586</v>
      </c>
      <c r="E83" t="s">
        <v>35</v>
      </c>
      <c r="F83" t="s">
        <v>133</v>
      </c>
      <c r="G83">
        <v>2024</v>
      </c>
    </row>
    <row r="84" spans="1:7" x14ac:dyDescent="0.35">
      <c r="A84" t="s">
        <v>19</v>
      </c>
      <c r="B84" t="s">
        <v>25</v>
      </c>
      <c r="C84">
        <v>17872796</v>
      </c>
      <c r="D84">
        <v>4065021</v>
      </c>
      <c r="E84">
        <v>13807775</v>
      </c>
      <c r="F84" t="s">
        <v>83</v>
      </c>
      <c r="G84">
        <v>2025</v>
      </c>
    </row>
    <row r="85" spans="1:7" x14ac:dyDescent="0.35">
      <c r="A85" t="s">
        <v>81</v>
      </c>
      <c r="B85" t="s">
        <v>25</v>
      </c>
      <c r="C85">
        <v>6659621</v>
      </c>
      <c r="D85">
        <v>5718412</v>
      </c>
      <c r="E85">
        <v>941209</v>
      </c>
      <c r="F85" t="s">
        <v>134</v>
      </c>
      <c r="G85">
        <v>2025</v>
      </c>
    </row>
    <row r="86" spans="1:7" x14ac:dyDescent="0.35">
      <c r="A86" t="s">
        <v>47</v>
      </c>
      <c r="B86" t="s">
        <v>39</v>
      </c>
      <c r="C86" t="s">
        <v>44</v>
      </c>
      <c r="D86">
        <v>7049977</v>
      </c>
      <c r="E86">
        <v>2116792</v>
      </c>
      <c r="F86" t="s">
        <v>135</v>
      </c>
      <c r="G86">
        <v>2024</v>
      </c>
    </row>
    <row r="87" spans="1:7" x14ac:dyDescent="0.35">
      <c r="A87" t="s">
        <v>38</v>
      </c>
      <c r="B87" t="s">
        <v>25</v>
      </c>
      <c r="C87">
        <v>8925622</v>
      </c>
      <c r="D87">
        <v>7859625</v>
      </c>
      <c r="E87">
        <v>1065997</v>
      </c>
      <c r="F87" t="s">
        <v>136</v>
      </c>
      <c r="G87">
        <v>2024</v>
      </c>
    </row>
    <row r="88" spans="1:7" x14ac:dyDescent="0.35">
      <c r="A88" t="s">
        <v>10</v>
      </c>
      <c r="B88" t="s">
        <v>11</v>
      </c>
      <c r="C88">
        <v>5297234</v>
      </c>
      <c r="D88">
        <v>3596622</v>
      </c>
      <c r="E88" t="s">
        <v>137</v>
      </c>
      <c r="F88" t="s">
        <v>138</v>
      </c>
      <c r="G88">
        <v>2025</v>
      </c>
    </row>
    <row r="89" spans="1:7" x14ac:dyDescent="0.35">
      <c r="A89" t="s">
        <v>21</v>
      </c>
      <c r="B89" t="s">
        <v>68</v>
      </c>
      <c r="C89">
        <v>6641746</v>
      </c>
      <c r="D89">
        <v>2466037</v>
      </c>
      <c r="E89">
        <v>4175709</v>
      </c>
      <c r="F89" t="s">
        <v>139</v>
      </c>
      <c r="G89">
        <v>2025</v>
      </c>
    </row>
    <row r="90" spans="1:7" x14ac:dyDescent="0.35">
      <c r="A90" t="s">
        <v>47</v>
      </c>
      <c r="B90" t="s">
        <v>74</v>
      </c>
      <c r="C90">
        <v>9166769</v>
      </c>
      <c r="D90">
        <v>7049977</v>
      </c>
      <c r="E90">
        <v>2116792</v>
      </c>
      <c r="F90" t="s">
        <v>140</v>
      </c>
      <c r="G90">
        <v>2024</v>
      </c>
    </row>
    <row r="91" spans="1:7" x14ac:dyDescent="0.35">
      <c r="A91" t="s">
        <v>10</v>
      </c>
      <c r="B91" t="s">
        <v>11</v>
      </c>
      <c r="C91" t="s">
        <v>117</v>
      </c>
      <c r="D91">
        <v>3596622</v>
      </c>
      <c r="E91">
        <v>1700612</v>
      </c>
      <c r="F91" t="s">
        <v>141</v>
      </c>
      <c r="G91">
        <v>2025</v>
      </c>
    </row>
    <row r="92" spans="1:7" x14ac:dyDescent="0.35">
      <c r="A92" t="s">
        <v>10</v>
      </c>
      <c r="B92" t="s">
        <v>25</v>
      </c>
      <c r="C92">
        <v>9406634</v>
      </c>
      <c r="D92">
        <v>1310092</v>
      </c>
      <c r="E92">
        <v>8096542</v>
      </c>
      <c r="G92">
        <v>2024</v>
      </c>
    </row>
    <row r="93" spans="1:7" x14ac:dyDescent="0.35">
      <c r="A93" t="s">
        <v>38</v>
      </c>
      <c r="C93">
        <v>8925622</v>
      </c>
      <c r="D93">
        <v>7859625</v>
      </c>
      <c r="E93">
        <v>1065997</v>
      </c>
      <c r="F93" t="s">
        <v>142</v>
      </c>
      <c r="G93">
        <v>2025</v>
      </c>
    </row>
    <row r="94" spans="1:7" x14ac:dyDescent="0.35">
      <c r="A94" t="s">
        <v>38</v>
      </c>
      <c r="B94" t="s">
        <v>39</v>
      </c>
      <c r="C94">
        <v>8925622</v>
      </c>
      <c r="D94">
        <v>7859625</v>
      </c>
      <c r="E94">
        <v>1065997</v>
      </c>
      <c r="F94" t="s">
        <v>143</v>
      </c>
      <c r="G94">
        <v>2025</v>
      </c>
    </row>
    <row r="95" spans="1:7" x14ac:dyDescent="0.35">
      <c r="A95" t="s">
        <v>13</v>
      </c>
      <c r="B95" t="s">
        <v>25</v>
      </c>
      <c r="C95">
        <v>13395811</v>
      </c>
      <c r="D95">
        <v>8109917</v>
      </c>
      <c r="E95">
        <v>5285894</v>
      </c>
      <c r="F95" t="s">
        <v>144</v>
      </c>
      <c r="G95">
        <v>2024</v>
      </c>
    </row>
    <row r="96" spans="1:7" x14ac:dyDescent="0.35">
      <c r="A96" t="s">
        <v>88</v>
      </c>
      <c r="B96" t="s">
        <v>11</v>
      </c>
      <c r="C96">
        <v>6641746</v>
      </c>
      <c r="D96">
        <v>2466037</v>
      </c>
      <c r="E96">
        <v>4175709</v>
      </c>
      <c r="F96" t="s">
        <v>145</v>
      </c>
      <c r="G96">
        <v>2025</v>
      </c>
    </row>
    <row r="97" spans="1:7" x14ac:dyDescent="0.35">
      <c r="A97" t="s">
        <v>21</v>
      </c>
      <c r="B97" t="s">
        <v>11</v>
      </c>
      <c r="C97" t="s">
        <v>146</v>
      </c>
      <c r="D97">
        <v>2466037</v>
      </c>
      <c r="E97">
        <v>4175709</v>
      </c>
      <c r="F97" t="s">
        <v>147</v>
      </c>
      <c r="G97">
        <v>2024</v>
      </c>
    </row>
    <row r="98" spans="1:7" x14ac:dyDescent="0.35">
      <c r="A98" t="s">
        <v>148</v>
      </c>
      <c r="B98" t="s">
        <v>25</v>
      </c>
      <c r="C98">
        <v>10422659</v>
      </c>
      <c r="D98">
        <v>8777125</v>
      </c>
      <c r="E98">
        <v>1645534</v>
      </c>
      <c r="F98" t="s">
        <v>149</v>
      </c>
      <c r="G98">
        <v>2025</v>
      </c>
    </row>
    <row r="99" spans="1:7" x14ac:dyDescent="0.35">
      <c r="A99" t="s">
        <v>55</v>
      </c>
      <c r="B99" t="s">
        <v>11</v>
      </c>
      <c r="C99">
        <v>6629660</v>
      </c>
      <c r="D99">
        <v>3523400</v>
      </c>
      <c r="E99">
        <v>3106260</v>
      </c>
      <c r="F99" t="s">
        <v>150</v>
      </c>
      <c r="G99">
        <v>2024</v>
      </c>
    </row>
    <row r="100" spans="1:7" x14ac:dyDescent="0.35">
      <c r="A100" t="s">
        <v>47</v>
      </c>
      <c r="B100" t="s">
        <v>11</v>
      </c>
      <c r="C100">
        <v>10887632</v>
      </c>
      <c r="D100">
        <v>3314932</v>
      </c>
      <c r="E100">
        <v>7572700</v>
      </c>
      <c r="F100" t="s">
        <v>151</v>
      </c>
      <c r="G100">
        <v>2025</v>
      </c>
    </row>
    <row r="101" spans="1:7" x14ac:dyDescent="0.35">
      <c r="A101" t="s">
        <v>7</v>
      </c>
      <c r="B101" t="s">
        <v>25</v>
      </c>
      <c r="C101">
        <v>10655734</v>
      </c>
      <c r="D101">
        <v>2408508</v>
      </c>
      <c r="E101">
        <v>8247226</v>
      </c>
      <c r="F101" t="s">
        <v>152</v>
      </c>
      <c r="G101">
        <v>2025</v>
      </c>
    </row>
    <row r="102" spans="1:7" x14ac:dyDescent="0.35">
      <c r="A102" t="s">
        <v>33</v>
      </c>
      <c r="B102" t="s">
        <v>11</v>
      </c>
      <c r="C102">
        <v>10932582</v>
      </c>
      <c r="D102">
        <v>9516586</v>
      </c>
      <c r="E102">
        <v>1415996</v>
      </c>
      <c r="F102" t="s">
        <v>153</v>
      </c>
      <c r="G102">
        <v>2024</v>
      </c>
    </row>
    <row r="103" spans="1:7" x14ac:dyDescent="0.35">
      <c r="A103" t="s">
        <v>38</v>
      </c>
      <c r="B103" t="s">
        <v>25</v>
      </c>
      <c r="C103">
        <v>8925622</v>
      </c>
      <c r="D103">
        <v>7859625</v>
      </c>
      <c r="E103">
        <v>1065997</v>
      </c>
      <c r="F103" t="s">
        <v>154</v>
      </c>
      <c r="G103">
        <v>2024</v>
      </c>
    </row>
    <row r="104" spans="1:7" x14ac:dyDescent="0.35">
      <c r="A104" t="s">
        <v>47</v>
      </c>
      <c r="B104" t="s">
        <v>25</v>
      </c>
      <c r="C104">
        <v>9166769</v>
      </c>
      <c r="D104">
        <v>7049977</v>
      </c>
      <c r="E104">
        <v>2116792</v>
      </c>
      <c r="F104" t="s">
        <v>155</v>
      </c>
      <c r="G104">
        <v>2024</v>
      </c>
    </row>
    <row r="105" spans="1:7" x14ac:dyDescent="0.35">
      <c r="A105" t="s">
        <v>10</v>
      </c>
      <c r="B105" t="s">
        <v>11</v>
      </c>
      <c r="C105">
        <v>5297234</v>
      </c>
      <c r="D105" t="s">
        <v>111</v>
      </c>
      <c r="E105">
        <v>1700612</v>
      </c>
      <c r="F105" t="s">
        <v>112</v>
      </c>
      <c r="G105">
        <v>2024</v>
      </c>
    </row>
    <row r="106" spans="1:7" x14ac:dyDescent="0.35">
      <c r="A106" t="s">
        <v>30</v>
      </c>
      <c r="B106" t="s">
        <v>25</v>
      </c>
      <c r="C106">
        <v>13243123</v>
      </c>
      <c r="D106">
        <v>5468428</v>
      </c>
      <c r="E106">
        <v>7774695</v>
      </c>
      <c r="F106" t="s">
        <v>156</v>
      </c>
      <c r="G106">
        <v>2024</v>
      </c>
    </row>
    <row r="107" spans="1:7" x14ac:dyDescent="0.35">
      <c r="A107" t="s">
        <v>10</v>
      </c>
      <c r="B107" t="s">
        <v>11</v>
      </c>
      <c r="C107">
        <v>5297234</v>
      </c>
      <c r="D107" t="s">
        <v>111</v>
      </c>
      <c r="E107">
        <v>1700612</v>
      </c>
      <c r="F107" t="s">
        <v>157</v>
      </c>
      <c r="G107">
        <v>2024</v>
      </c>
    </row>
    <row r="108" spans="1:7" x14ac:dyDescent="0.35">
      <c r="A108" t="s">
        <v>21</v>
      </c>
      <c r="B108" t="s">
        <v>11</v>
      </c>
      <c r="C108">
        <v>6641746</v>
      </c>
      <c r="D108">
        <v>2466037</v>
      </c>
      <c r="E108">
        <v>4175709</v>
      </c>
      <c r="F108" t="s">
        <v>158</v>
      </c>
      <c r="G108">
        <v>2025</v>
      </c>
    </row>
    <row r="109" spans="1:7" x14ac:dyDescent="0.35">
      <c r="A109" t="s">
        <v>10</v>
      </c>
      <c r="B109" t="s">
        <v>25</v>
      </c>
      <c r="C109">
        <v>9406634</v>
      </c>
      <c r="D109">
        <v>1310092</v>
      </c>
      <c r="E109">
        <v>8096542</v>
      </c>
      <c r="G109">
        <v>2025</v>
      </c>
    </row>
    <row r="110" spans="1:7" x14ac:dyDescent="0.35">
      <c r="A110" t="s">
        <v>30</v>
      </c>
      <c r="B110" t="s">
        <v>11</v>
      </c>
      <c r="C110">
        <v>2093322</v>
      </c>
      <c r="D110">
        <v>846252</v>
      </c>
      <c r="E110">
        <v>1247070</v>
      </c>
      <c r="F110" t="s">
        <v>159</v>
      </c>
      <c r="G110">
        <v>2025</v>
      </c>
    </row>
    <row r="111" spans="1:7" x14ac:dyDescent="0.35">
      <c r="A111" t="s">
        <v>30</v>
      </c>
      <c r="B111" t="s">
        <v>11</v>
      </c>
      <c r="C111">
        <v>2093322</v>
      </c>
      <c r="D111">
        <v>846252</v>
      </c>
      <c r="E111">
        <v>1247070</v>
      </c>
      <c r="F111" t="s">
        <v>160</v>
      </c>
      <c r="G111">
        <v>2025</v>
      </c>
    </row>
    <row r="112" spans="1:7" x14ac:dyDescent="0.35">
      <c r="A112" t="s">
        <v>30</v>
      </c>
      <c r="B112" t="s">
        <v>11</v>
      </c>
      <c r="C112">
        <v>2093322</v>
      </c>
      <c r="D112">
        <v>846252</v>
      </c>
      <c r="E112">
        <v>1247070</v>
      </c>
      <c r="F112" t="s">
        <v>31</v>
      </c>
      <c r="G112">
        <v>2025</v>
      </c>
    </row>
    <row r="113" spans="1:7" x14ac:dyDescent="0.35">
      <c r="A113" t="s">
        <v>161</v>
      </c>
      <c r="B113" t="s">
        <v>11</v>
      </c>
      <c r="C113">
        <v>7684666</v>
      </c>
      <c r="D113">
        <v>5053533</v>
      </c>
      <c r="E113">
        <v>2631133</v>
      </c>
      <c r="F113" t="s">
        <v>162</v>
      </c>
      <c r="G113">
        <v>2024</v>
      </c>
    </row>
    <row r="114" spans="1:7" x14ac:dyDescent="0.35">
      <c r="A114" t="s">
        <v>30</v>
      </c>
      <c r="B114" t="s">
        <v>11</v>
      </c>
      <c r="C114" t="s">
        <v>52</v>
      </c>
      <c r="D114">
        <v>846252</v>
      </c>
      <c r="E114">
        <v>1247070</v>
      </c>
      <c r="F114" t="s">
        <v>163</v>
      </c>
      <c r="G114">
        <v>2025</v>
      </c>
    </row>
    <row r="115" spans="1:7" x14ac:dyDescent="0.35">
      <c r="A115" t="s">
        <v>38</v>
      </c>
      <c r="B115" t="s">
        <v>25</v>
      </c>
      <c r="C115" t="s">
        <v>164</v>
      </c>
      <c r="D115">
        <v>7859625</v>
      </c>
      <c r="E115">
        <v>1065997</v>
      </c>
      <c r="F115" t="s">
        <v>165</v>
      </c>
      <c r="G115">
        <v>2025</v>
      </c>
    </row>
    <row r="116" spans="1:7" x14ac:dyDescent="0.35">
      <c r="A116" t="s">
        <v>24</v>
      </c>
      <c r="B116" t="s">
        <v>11</v>
      </c>
      <c r="C116">
        <v>7713630</v>
      </c>
      <c r="D116">
        <v>1832250</v>
      </c>
      <c r="E116">
        <v>5881380</v>
      </c>
      <c r="F116" t="s">
        <v>31</v>
      </c>
      <c r="G116">
        <v>2025</v>
      </c>
    </row>
    <row r="117" spans="1:7" x14ac:dyDescent="0.35">
      <c r="A117" t="s">
        <v>15</v>
      </c>
      <c r="B117" t="s">
        <v>68</v>
      </c>
      <c r="C117">
        <v>9814492</v>
      </c>
      <c r="D117">
        <v>5074629</v>
      </c>
      <c r="E117">
        <v>4739863</v>
      </c>
      <c r="F117" t="s">
        <v>166</v>
      </c>
      <c r="G117">
        <v>2024</v>
      </c>
    </row>
    <row r="118" spans="1:7" x14ac:dyDescent="0.35">
      <c r="A118" t="s">
        <v>167</v>
      </c>
      <c r="B118" t="s">
        <v>74</v>
      </c>
      <c r="C118" t="s">
        <v>26</v>
      </c>
      <c r="D118">
        <v>5718412</v>
      </c>
      <c r="E118">
        <v>941209</v>
      </c>
      <c r="F118" t="s">
        <v>168</v>
      </c>
      <c r="G118">
        <v>2025</v>
      </c>
    </row>
    <row r="119" spans="1:7" x14ac:dyDescent="0.35">
      <c r="A119" t="s">
        <v>21</v>
      </c>
      <c r="B119" t="s">
        <v>8</v>
      </c>
      <c r="C119">
        <v>12433378</v>
      </c>
      <c r="D119">
        <v>3398230</v>
      </c>
      <c r="E119">
        <v>9035148</v>
      </c>
      <c r="F119" t="s">
        <v>169</v>
      </c>
      <c r="G119">
        <v>2024</v>
      </c>
    </row>
    <row r="120" spans="1:7" x14ac:dyDescent="0.35">
      <c r="A120" t="s">
        <v>19</v>
      </c>
      <c r="B120" t="s">
        <v>11</v>
      </c>
      <c r="C120">
        <v>7409657</v>
      </c>
      <c r="D120" t="s">
        <v>170</v>
      </c>
      <c r="E120">
        <v>1138321</v>
      </c>
      <c r="F120" t="s">
        <v>171</v>
      </c>
      <c r="G120">
        <v>2025</v>
      </c>
    </row>
    <row r="121" spans="1:7" x14ac:dyDescent="0.35">
      <c r="A121" t="s">
        <v>38</v>
      </c>
      <c r="B121" t="s">
        <v>25</v>
      </c>
      <c r="C121">
        <v>8925622</v>
      </c>
      <c r="D121">
        <v>7859625</v>
      </c>
      <c r="E121">
        <v>1065997</v>
      </c>
      <c r="F121" t="s">
        <v>172</v>
      </c>
      <c r="G121">
        <v>2024</v>
      </c>
    </row>
    <row r="122" spans="1:7" x14ac:dyDescent="0.35">
      <c r="A122" t="s">
        <v>19</v>
      </c>
      <c r="B122" t="s">
        <v>11</v>
      </c>
      <c r="C122">
        <v>7409657</v>
      </c>
      <c r="D122">
        <v>6271336</v>
      </c>
      <c r="E122">
        <v>1138321</v>
      </c>
      <c r="F122" t="s">
        <v>173</v>
      </c>
      <c r="G122">
        <v>2024</v>
      </c>
    </row>
    <row r="123" spans="1:7" x14ac:dyDescent="0.35">
      <c r="A123" t="s">
        <v>15</v>
      </c>
      <c r="B123" t="s">
        <v>25</v>
      </c>
      <c r="C123">
        <v>13395142</v>
      </c>
      <c r="D123">
        <v>3866714</v>
      </c>
      <c r="E123">
        <v>9528428</v>
      </c>
      <c r="F123" t="s">
        <v>174</v>
      </c>
      <c r="G123">
        <v>2024</v>
      </c>
    </row>
    <row r="124" spans="1:7" x14ac:dyDescent="0.35">
      <c r="A124" t="s">
        <v>50</v>
      </c>
      <c r="B124" t="s">
        <v>25</v>
      </c>
      <c r="C124">
        <v>10422659</v>
      </c>
      <c r="D124">
        <v>8777125</v>
      </c>
      <c r="E124">
        <v>1645534</v>
      </c>
      <c r="F124" t="s">
        <v>175</v>
      </c>
      <c r="G124">
        <v>2024</v>
      </c>
    </row>
    <row r="125" spans="1:7" x14ac:dyDescent="0.35">
      <c r="A125" t="s">
        <v>15</v>
      </c>
      <c r="B125" t="s">
        <v>25</v>
      </c>
      <c r="C125">
        <v>13395142</v>
      </c>
      <c r="D125">
        <v>3866714</v>
      </c>
      <c r="E125">
        <v>9528428</v>
      </c>
      <c r="F125" t="s">
        <v>176</v>
      </c>
      <c r="G125">
        <v>2025</v>
      </c>
    </row>
    <row r="126" spans="1:7" x14ac:dyDescent="0.35">
      <c r="A126" t="s">
        <v>7</v>
      </c>
      <c r="B126" t="s">
        <v>39</v>
      </c>
      <c r="C126">
        <v>10655734</v>
      </c>
      <c r="D126">
        <v>2408508</v>
      </c>
      <c r="E126">
        <v>8247226</v>
      </c>
      <c r="F126" t="s">
        <v>177</v>
      </c>
      <c r="G126">
        <v>2024</v>
      </c>
    </row>
    <row r="127" spans="1:7" x14ac:dyDescent="0.35">
      <c r="A127" t="s">
        <v>10</v>
      </c>
      <c r="B127" t="s">
        <v>11</v>
      </c>
      <c r="C127">
        <v>5297234</v>
      </c>
      <c r="D127">
        <v>3596622</v>
      </c>
      <c r="E127">
        <v>1700612</v>
      </c>
      <c r="F127" t="s">
        <v>178</v>
      </c>
      <c r="G127">
        <v>2025</v>
      </c>
    </row>
    <row r="128" spans="1:7" x14ac:dyDescent="0.35">
      <c r="A128" t="s">
        <v>38</v>
      </c>
      <c r="B128" t="s">
        <v>11</v>
      </c>
      <c r="C128">
        <v>3115955</v>
      </c>
      <c r="D128">
        <v>2888010</v>
      </c>
      <c r="E128">
        <v>227945</v>
      </c>
      <c r="F128" t="s">
        <v>179</v>
      </c>
      <c r="G128">
        <v>2024</v>
      </c>
    </row>
    <row r="129" spans="1:7" x14ac:dyDescent="0.35">
      <c r="A129" t="s">
        <v>88</v>
      </c>
      <c r="B129" t="s">
        <v>11</v>
      </c>
      <c r="C129" t="s">
        <v>146</v>
      </c>
      <c r="D129">
        <v>2466037</v>
      </c>
      <c r="E129">
        <v>4175709</v>
      </c>
      <c r="F129" t="s">
        <v>180</v>
      </c>
      <c r="G129">
        <v>2024</v>
      </c>
    </row>
    <row r="130" spans="1:7" x14ac:dyDescent="0.35">
      <c r="A130" t="s">
        <v>15</v>
      </c>
      <c r="B130" t="s">
        <v>25</v>
      </c>
      <c r="C130">
        <v>13395142</v>
      </c>
      <c r="D130">
        <v>3866714</v>
      </c>
      <c r="E130">
        <v>9528428</v>
      </c>
      <c r="F130" t="s">
        <v>181</v>
      </c>
      <c r="G130">
        <v>2025</v>
      </c>
    </row>
    <row r="131" spans="1:7" x14ac:dyDescent="0.35">
      <c r="A131" t="s">
        <v>15</v>
      </c>
      <c r="B131" t="s">
        <v>25</v>
      </c>
      <c r="C131">
        <v>13395142</v>
      </c>
      <c r="D131" t="s">
        <v>182</v>
      </c>
      <c r="E131">
        <v>9528428</v>
      </c>
      <c r="F131" t="s">
        <v>183</v>
      </c>
      <c r="G131">
        <v>2024</v>
      </c>
    </row>
    <row r="132" spans="1:7" x14ac:dyDescent="0.35">
      <c r="A132" t="s">
        <v>184</v>
      </c>
      <c r="B132" t="s">
        <v>25</v>
      </c>
      <c r="C132">
        <v>9406634</v>
      </c>
      <c r="D132">
        <v>1310092</v>
      </c>
      <c r="E132">
        <v>8096542</v>
      </c>
      <c r="F132" t="s">
        <v>185</v>
      </c>
      <c r="G132">
        <v>2025</v>
      </c>
    </row>
    <row r="133" spans="1:7" x14ac:dyDescent="0.35">
      <c r="A133" t="s">
        <v>186</v>
      </c>
      <c r="B133" t="s">
        <v>68</v>
      </c>
      <c r="C133">
        <v>9869633</v>
      </c>
      <c r="D133">
        <v>8708702</v>
      </c>
      <c r="E133">
        <v>1160931</v>
      </c>
      <c r="F133" t="s">
        <v>187</v>
      </c>
      <c r="G133">
        <v>2024</v>
      </c>
    </row>
    <row r="134" spans="1:7" x14ac:dyDescent="0.35">
      <c r="A134" t="s">
        <v>19</v>
      </c>
      <c r="B134" t="s">
        <v>25</v>
      </c>
      <c r="C134">
        <v>17872796</v>
      </c>
      <c r="D134" t="s">
        <v>188</v>
      </c>
      <c r="E134">
        <v>13807775</v>
      </c>
      <c r="F134" t="s">
        <v>189</v>
      </c>
      <c r="G134">
        <v>2025</v>
      </c>
    </row>
    <row r="135" spans="1:7" x14ac:dyDescent="0.35">
      <c r="A135" t="s">
        <v>19</v>
      </c>
      <c r="B135" t="s">
        <v>11</v>
      </c>
      <c r="C135">
        <v>7409657</v>
      </c>
      <c r="D135">
        <v>6271336</v>
      </c>
      <c r="E135">
        <v>1138321</v>
      </c>
      <c r="F135" t="s">
        <v>190</v>
      </c>
      <c r="G135">
        <v>2025</v>
      </c>
    </row>
    <row r="136" spans="1:7" x14ac:dyDescent="0.35">
      <c r="A136" t="s">
        <v>13</v>
      </c>
      <c r="B136" t="s">
        <v>25</v>
      </c>
      <c r="C136">
        <v>13395811</v>
      </c>
      <c r="D136">
        <v>8109917</v>
      </c>
      <c r="E136">
        <v>5285894</v>
      </c>
      <c r="F136" t="s">
        <v>191</v>
      </c>
      <c r="G136">
        <v>2024</v>
      </c>
    </row>
    <row r="137" spans="1:7" x14ac:dyDescent="0.35">
      <c r="A137" t="s">
        <v>38</v>
      </c>
      <c r="B137" t="s">
        <v>11</v>
      </c>
      <c r="C137">
        <v>3115955</v>
      </c>
      <c r="D137">
        <v>2888010</v>
      </c>
      <c r="E137" t="s">
        <v>192</v>
      </c>
      <c r="F137" t="s">
        <v>193</v>
      </c>
      <c r="G137">
        <v>2024</v>
      </c>
    </row>
    <row r="138" spans="1:7" x14ac:dyDescent="0.35">
      <c r="A138" t="s">
        <v>33</v>
      </c>
      <c r="B138" t="s">
        <v>25</v>
      </c>
      <c r="C138">
        <v>17772619</v>
      </c>
      <c r="D138">
        <v>3751148</v>
      </c>
      <c r="E138">
        <v>14021471</v>
      </c>
      <c r="F138" t="s">
        <v>194</v>
      </c>
      <c r="G138">
        <v>2024</v>
      </c>
    </row>
    <row r="139" spans="1:7" x14ac:dyDescent="0.35">
      <c r="A139" t="s">
        <v>30</v>
      </c>
      <c r="B139" t="s">
        <v>25</v>
      </c>
      <c r="C139">
        <v>13243123</v>
      </c>
      <c r="D139">
        <v>5468428</v>
      </c>
      <c r="E139">
        <v>7774695</v>
      </c>
      <c r="F139" t="s">
        <v>195</v>
      </c>
      <c r="G139">
        <v>2024</v>
      </c>
    </row>
    <row r="140" spans="1:7" x14ac:dyDescent="0.35">
      <c r="A140" t="s">
        <v>13</v>
      </c>
      <c r="B140" t="s">
        <v>25</v>
      </c>
      <c r="C140">
        <v>13395811</v>
      </c>
      <c r="D140">
        <v>8109917</v>
      </c>
      <c r="E140">
        <v>5285894</v>
      </c>
      <c r="F140" t="s">
        <v>196</v>
      </c>
      <c r="G140">
        <v>2024</v>
      </c>
    </row>
    <row r="141" spans="1:7" x14ac:dyDescent="0.35">
      <c r="A141" t="s">
        <v>47</v>
      </c>
      <c r="B141" t="s">
        <v>11</v>
      </c>
      <c r="C141">
        <v>10887632</v>
      </c>
      <c r="D141">
        <v>3314932</v>
      </c>
      <c r="E141">
        <v>7572700</v>
      </c>
      <c r="F141" t="s">
        <v>197</v>
      </c>
      <c r="G141">
        <v>2024</v>
      </c>
    </row>
    <row r="142" spans="1:7" x14ac:dyDescent="0.35">
      <c r="A142" t="s">
        <v>38</v>
      </c>
      <c r="B142" t="s">
        <v>11</v>
      </c>
      <c r="C142">
        <v>3115955</v>
      </c>
      <c r="D142">
        <v>2888010</v>
      </c>
      <c r="E142">
        <v>227945</v>
      </c>
      <c r="F142" t="s">
        <v>198</v>
      </c>
      <c r="G142">
        <v>2024</v>
      </c>
    </row>
    <row r="143" spans="1:7" x14ac:dyDescent="0.35">
      <c r="A143" t="s">
        <v>19</v>
      </c>
      <c r="B143" t="s">
        <v>39</v>
      </c>
      <c r="C143">
        <v>17872796</v>
      </c>
      <c r="D143">
        <v>4065021</v>
      </c>
      <c r="E143">
        <v>13807775</v>
      </c>
      <c r="F143" t="s">
        <v>199</v>
      </c>
      <c r="G143">
        <v>2025</v>
      </c>
    </row>
    <row r="144" spans="1:7" x14ac:dyDescent="0.35">
      <c r="A144" t="s">
        <v>200</v>
      </c>
      <c r="B144" t="s">
        <v>11</v>
      </c>
      <c r="C144">
        <v>3115955</v>
      </c>
      <c r="D144" t="s">
        <v>201</v>
      </c>
      <c r="E144">
        <v>227945</v>
      </c>
      <c r="F144" t="s">
        <v>202</v>
      </c>
      <c r="G144">
        <v>2024</v>
      </c>
    </row>
    <row r="145" spans="1:7" x14ac:dyDescent="0.35">
      <c r="A145" t="s">
        <v>19</v>
      </c>
      <c r="B145" t="s">
        <v>25</v>
      </c>
      <c r="C145">
        <v>17872796</v>
      </c>
      <c r="D145">
        <v>4065021</v>
      </c>
      <c r="E145">
        <v>13807775</v>
      </c>
      <c r="F145" t="s">
        <v>203</v>
      </c>
      <c r="G145">
        <v>2025</v>
      </c>
    </row>
    <row r="146" spans="1:7" x14ac:dyDescent="0.35">
      <c r="A146" t="s">
        <v>15</v>
      </c>
      <c r="B146" t="s">
        <v>25</v>
      </c>
      <c r="C146">
        <v>13395142</v>
      </c>
      <c r="D146">
        <v>3866714</v>
      </c>
      <c r="E146">
        <v>9528428</v>
      </c>
      <c r="F146" t="s">
        <v>75</v>
      </c>
      <c r="G146">
        <v>2025</v>
      </c>
    </row>
    <row r="147" spans="1:7" x14ac:dyDescent="0.35">
      <c r="A147" t="s">
        <v>33</v>
      </c>
      <c r="B147" t="s">
        <v>25</v>
      </c>
      <c r="C147">
        <v>17772619</v>
      </c>
      <c r="D147" t="s">
        <v>204</v>
      </c>
      <c r="E147">
        <v>14021471</v>
      </c>
      <c r="F147" t="s">
        <v>205</v>
      </c>
      <c r="G147">
        <v>2025</v>
      </c>
    </row>
    <row r="148" spans="1:7" x14ac:dyDescent="0.35">
      <c r="A148" t="s">
        <v>47</v>
      </c>
      <c r="B148" t="s">
        <v>25</v>
      </c>
      <c r="C148">
        <v>9166769</v>
      </c>
      <c r="D148">
        <v>7049977</v>
      </c>
      <c r="E148">
        <v>2116792</v>
      </c>
      <c r="F148" t="s">
        <v>206</v>
      </c>
      <c r="G148">
        <v>2025</v>
      </c>
    </row>
    <row r="149" spans="1:7" x14ac:dyDescent="0.35">
      <c r="A149" t="s">
        <v>33</v>
      </c>
      <c r="B149" t="s">
        <v>25</v>
      </c>
      <c r="C149">
        <v>17772619</v>
      </c>
      <c r="D149">
        <v>3751148</v>
      </c>
      <c r="E149" t="s">
        <v>108</v>
      </c>
      <c r="F149" t="s">
        <v>207</v>
      </c>
      <c r="G149">
        <v>2024</v>
      </c>
    </row>
    <row r="150" spans="1:7" x14ac:dyDescent="0.35">
      <c r="A150" t="s">
        <v>30</v>
      </c>
      <c r="B150" t="s">
        <v>11</v>
      </c>
      <c r="C150">
        <v>2093322</v>
      </c>
      <c r="D150">
        <v>846252</v>
      </c>
      <c r="E150">
        <v>1247070</v>
      </c>
      <c r="F150" t="s">
        <v>208</v>
      </c>
      <c r="G150">
        <v>2024</v>
      </c>
    </row>
    <row r="151" spans="1:7" x14ac:dyDescent="0.35">
      <c r="A151" t="s">
        <v>200</v>
      </c>
      <c r="B151" t="s">
        <v>25</v>
      </c>
      <c r="C151" t="s">
        <v>164</v>
      </c>
      <c r="D151">
        <v>7859625</v>
      </c>
      <c r="E151">
        <v>1065997</v>
      </c>
      <c r="F151" t="s">
        <v>209</v>
      </c>
      <c r="G151">
        <v>2025</v>
      </c>
    </row>
    <row r="152" spans="1:7" x14ac:dyDescent="0.35">
      <c r="A152" t="s">
        <v>15</v>
      </c>
      <c r="B152" t="s">
        <v>25</v>
      </c>
      <c r="C152">
        <v>13395142</v>
      </c>
      <c r="D152">
        <v>3866714</v>
      </c>
      <c r="E152">
        <v>9528428</v>
      </c>
      <c r="F152" t="s">
        <v>210</v>
      </c>
      <c r="G152">
        <v>2025</v>
      </c>
    </row>
    <row r="153" spans="1:7" x14ac:dyDescent="0.35">
      <c r="A153" t="s">
        <v>7</v>
      </c>
      <c r="B153" t="s">
        <v>25</v>
      </c>
      <c r="C153">
        <v>10655734</v>
      </c>
      <c r="D153">
        <v>2408508</v>
      </c>
      <c r="E153">
        <v>8247226</v>
      </c>
      <c r="F153" t="s">
        <v>211</v>
      </c>
      <c r="G153">
        <v>2025</v>
      </c>
    </row>
    <row r="154" spans="1:7" x14ac:dyDescent="0.35">
      <c r="A154" t="s">
        <v>7</v>
      </c>
      <c r="B154" t="s">
        <v>25</v>
      </c>
      <c r="C154">
        <v>10655734</v>
      </c>
      <c r="D154" t="s">
        <v>212</v>
      </c>
      <c r="E154">
        <v>8247226</v>
      </c>
      <c r="F154" t="s">
        <v>213</v>
      </c>
      <c r="G154">
        <v>2025</v>
      </c>
    </row>
    <row r="155" spans="1:7" x14ac:dyDescent="0.35">
      <c r="A155" t="s">
        <v>33</v>
      </c>
      <c r="B155" t="s">
        <v>11</v>
      </c>
      <c r="C155" t="s">
        <v>214</v>
      </c>
      <c r="D155">
        <v>9516586</v>
      </c>
      <c r="E155">
        <v>1415996</v>
      </c>
      <c r="F155" t="s">
        <v>173</v>
      </c>
      <c r="G155">
        <v>2024</v>
      </c>
    </row>
    <row r="156" spans="1:7" x14ac:dyDescent="0.35">
      <c r="A156" t="s">
        <v>24</v>
      </c>
      <c r="B156" t="s">
        <v>11</v>
      </c>
      <c r="C156">
        <v>7713630</v>
      </c>
      <c r="D156">
        <v>1832250</v>
      </c>
      <c r="E156" t="s">
        <v>215</v>
      </c>
      <c r="F156" t="s">
        <v>216</v>
      </c>
      <c r="G156">
        <v>2024</v>
      </c>
    </row>
    <row r="157" spans="1:7" x14ac:dyDescent="0.35">
      <c r="A157" t="s">
        <v>24</v>
      </c>
      <c r="B157" t="s">
        <v>8</v>
      </c>
      <c r="C157">
        <v>6659621</v>
      </c>
      <c r="D157" t="s">
        <v>27</v>
      </c>
      <c r="E157">
        <v>941209</v>
      </c>
      <c r="F157" t="s">
        <v>217</v>
      </c>
      <c r="G157">
        <v>2024</v>
      </c>
    </row>
    <row r="158" spans="1:7" x14ac:dyDescent="0.35">
      <c r="A158" t="s">
        <v>218</v>
      </c>
      <c r="B158" t="s">
        <v>25</v>
      </c>
      <c r="C158">
        <v>10422659</v>
      </c>
      <c r="D158">
        <v>8777125</v>
      </c>
      <c r="E158">
        <v>1645534</v>
      </c>
      <c r="F158" t="s">
        <v>219</v>
      </c>
      <c r="G158">
        <v>2024</v>
      </c>
    </row>
    <row r="159" spans="1:7" x14ac:dyDescent="0.35">
      <c r="A159" t="s">
        <v>55</v>
      </c>
      <c r="B159" t="s">
        <v>11</v>
      </c>
      <c r="C159">
        <v>6629660</v>
      </c>
      <c r="D159">
        <v>3523400</v>
      </c>
      <c r="E159">
        <v>3106260</v>
      </c>
      <c r="F159" t="s">
        <v>220</v>
      </c>
      <c r="G159">
        <v>2025</v>
      </c>
    </row>
    <row r="160" spans="1:7" x14ac:dyDescent="0.35">
      <c r="A160" t="s">
        <v>221</v>
      </c>
      <c r="B160" t="s">
        <v>25</v>
      </c>
      <c r="C160">
        <v>6659621</v>
      </c>
      <c r="D160">
        <v>5718412</v>
      </c>
      <c r="E160" t="s">
        <v>28</v>
      </c>
      <c r="F160" t="s">
        <v>222</v>
      </c>
      <c r="G160">
        <v>2024</v>
      </c>
    </row>
    <row r="161" spans="1:7" x14ac:dyDescent="0.35">
      <c r="A161" t="s">
        <v>19</v>
      </c>
      <c r="B161" t="s">
        <v>11</v>
      </c>
      <c r="C161" t="s">
        <v>223</v>
      </c>
      <c r="D161">
        <v>6271336</v>
      </c>
      <c r="E161">
        <v>1138321</v>
      </c>
      <c r="F161" t="s">
        <v>220</v>
      </c>
      <c r="G161">
        <v>2025</v>
      </c>
    </row>
    <row r="162" spans="1:7" x14ac:dyDescent="0.35">
      <c r="A162" t="s">
        <v>21</v>
      </c>
      <c r="B162" t="s">
        <v>11</v>
      </c>
      <c r="C162">
        <v>6641746</v>
      </c>
      <c r="D162" t="s">
        <v>224</v>
      </c>
      <c r="E162">
        <v>4175709</v>
      </c>
      <c r="F162" t="s">
        <v>225</v>
      </c>
      <c r="G162">
        <v>2024</v>
      </c>
    </row>
    <row r="163" spans="1:7" x14ac:dyDescent="0.35">
      <c r="A163" t="s">
        <v>19</v>
      </c>
      <c r="B163" t="s">
        <v>11</v>
      </c>
      <c r="C163">
        <v>7409657</v>
      </c>
      <c r="D163">
        <v>6271336</v>
      </c>
      <c r="E163">
        <v>1138321</v>
      </c>
      <c r="F163" t="s">
        <v>159</v>
      </c>
      <c r="G163">
        <v>2025</v>
      </c>
    </row>
    <row r="164" spans="1:7" x14ac:dyDescent="0.35">
      <c r="A164" t="s">
        <v>81</v>
      </c>
      <c r="B164" t="s">
        <v>25</v>
      </c>
      <c r="C164">
        <v>6659621</v>
      </c>
      <c r="D164">
        <v>5718412</v>
      </c>
      <c r="E164">
        <v>941209</v>
      </c>
      <c r="F164" t="s">
        <v>134</v>
      </c>
      <c r="G164">
        <v>2025</v>
      </c>
    </row>
    <row r="165" spans="1:7" x14ac:dyDescent="0.35">
      <c r="A165" t="s">
        <v>10</v>
      </c>
      <c r="B165" t="s">
        <v>25</v>
      </c>
      <c r="C165">
        <v>9406634</v>
      </c>
      <c r="D165">
        <v>1310092</v>
      </c>
      <c r="E165">
        <v>8096542</v>
      </c>
      <c r="F165" t="s">
        <v>226</v>
      </c>
      <c r="G165">
        <v>2025</v>
      </c>
    </row>
    <row r="166" spans="1:7" x14ac:dyDescent="0.35">
      <c r="A166" t="s">
        <v>227</v>
      </c>
      <c r="B166" t="s">
        <v>39</v>
      </c>
      <c r="C166">
        <v>10655734</v>
      </c>
      <c r="D166">
        <v>2408508</v>
      </c>
      <c r="E166">
        <v>8247226</v>
      </c>
      <c r="F166" t="s">
        <v>228</v>
      </c>
      <c r="G166">
        <v>2024</v>
      </c>
    </row>
    <row r="167" spans="1:7" x14ac:dyDescent="0.35">
      <c r="A167" t="s">
        <v>50</v>
      </c>
      <c r="B167" t="s">
        <v>25</v>
      </c>
      <c r="C167">
        <v>10422659</v>
      </c>
      <c r="D167" t="s">
        <v>229</v>
      </c>
      <c r="E167" t="s">
        <v>230</v>
      </c>
      <c r="F167" t="s">
        <v>231</v>
      </c>
      <c r="G167">
        <v>2024</v>
      </c>
    </row>
    <row r="168" spans="1:7" x14ac:dyDescent="0.35">
      <c r="A168" t="s">
        <v>15</v>
      </c>
      <c r="B168" t="s">
        <v>11</v>
      </c>
      <c r="C168">
        <v>9814492</v>
      </c>
      <c r="D168" t="s">
        <v>232</v>
      </c>
      <c r="E168">
        <v>4739863</v>
      </c>
      <c r="F168" t="s">
        <v>179</v>
      </c>
      <c r="G168">
        <v>2024</v>
      </c>
    </row>
    <row r="169" spans="1:7" x14ac:dyDescent="0.35">
      <c r="A169" t="s">
        <v>24</v>
      </c>
      <c r="B169" t="s">
        <v>11</v>
      </c>
      <c r="C169">
        <v>7713630</v>
      </c>
      <c r="D169">
        <v>1832250</v>
      </c>
      <c r="E169">
        <v>5881380</v>
      </c>
      <c r="F169" t="s">
        <v>31</v>
      </c>
      <c r="G169">
        <v>2025</v>
      </c>
    </row>
    <row r="170" spans="1:7" x14ac:dyDescent="0.35">
      <c r="A170" t="s">
        <v>33</v>
      </c>
      <c r="B170" t="s">
        <v>11</v>
      </c>
      <c r="C170">
        <v>10932582</v>
      </c>
      <c r="D170">
        <v>9516586</v>
      </c>
      <c r="E170">
        <v>1415996</v>
      </c>
      <c r="F170" t="s">
        <v>233</v>
      </c>
      <c r="G170">
        <v>2024</v>
      </c>
    </row>
    <row r="171" spans="1:7" x14ac:dyDescent="0.35">
      <c r="A171" t="s">
        <v>38</v>
      </c>
      <c r="B171" t="s">
        <v>25</v>
      </c>
      <c r="C171">
        <v>8925622</v>
      </c>
      <c r="D171">
        <v>7859625</v>
      </c>
      <c r="E171">
        <v>1065997</v>
      </c>
      <c r="F171" t="s">
        <v>234</v>
      </c>
      <c r="G171">
        <v>2025</v>
      </c>
    </row>
    <row r="172" spans="1:7" x14ac:dyDescent="0.35">
      <c r="A172" t="s">
        <v>235</v>
      </c>
      <c r="B172" t="s">
        <v>8</v>
      </c>
      <c r="C172">
        <v>9406634</v>
      </c>
      <c r="D172">
        <v>1310092</v>
      </c>
      <c r="E172">
        <v>8096542</v>
      </c>
      <c r="F172" t="s">
        <v>236</v>
      </c>
      <c r="G172">
        <v>2025</v>
      </c>
    </row>
    <row r="173" spans="1:7" x14ac:dyDescent="0.35">
      <c r="B173" t="s">
        <v>11</v>
      </c>
      <c r="C173">
        <v>5297234</v>
      </c>
      <c r="D173">
        <v>3596622</v>
      </c>
      <c r="E173">
        <v>1700612</v>
      </c>
      <c r="F173" t="s">
        <v>237</v>
      </c>
      <c r="G173">
        <v>2024</v>
      </c>
    </row>
    <row r="174" spans="1:7" x14ac:dyDescent="0.35">
      <c r="A174" t="s">
        <v>13</v>
      </c>
      <c r="B174" t="s">
        <v>11</v>
      </c>
      <c r="C174">
        <v>7684666</v>
      </c>
      <c r="D174">
        <v>5053533</v>
      </c>
      <c r="E174">
        <v>2631133</v>
      </c>
      <c r="F174" t="s">
        <v>238</v>
      </c>
      <c r="G174">
        <v>2024</v>
      </c>
    </row>
    <row r="175" spans="1:7" x14ac:dyDescent="0.35">
      <c r="A175" t="s">
        <v>24</v>
      </c>
      <c r="B175" t="s">
        <v>25</v>
      </c>
      <c r="C175">
        <v>6659621</v>
      </c>
      <c r="D175">
        <v>5718412</v>
      </c>
      <c r="E175">
        <v>941209</v>
      </c>
      <c r="G175">
        <v>2024</v>
      </c>
    </row>
    <row r="176" spans="1:7" x14ac:dyDescent="0.35">
      <c r="A176" t="s">
        <v>239</v>
      </c>
      <c r="B176" t="s">
        <v>11</v>
      </c>
      <c r="C176">
        <v>10887632</v>
      </c>
      <c r="D176" t="s">
        <v>240</v>
      </c>
      <c r="E176">
        <v>7572700</v>
      </c>
      <c r="F176" t="s">
        <v>241</v>
      </c>
      <c r="G176">
        <v>2024</v>
      </c>
    </row>
    <row r="177" spans="1:7" x14ac:dyDescent="0.35">
      <c r="A177" t="s">
        <v>19</v>
      </c>
      <c r="B177" t="s">
        <v>25</v>
      </c>
      <c r="C177">
        <v>17872796</v>
      </c>
      <c r="D177">
        <v>4065021</v>
      </c>
      <c r="E177">
        <v>13807775</v>
      </c>
      <c r="F177" t="s">
        <v>242</v>
      </c>
      <c r="G177">
        <v>2024</v>
      </c>
    </row>
    <row r="178" spans="1:7" x14ac:dyDescent="0.35">
      <c r="A178" t="s">
        <v>19</v>
      </c>
      <c r="B178" t="s">
        <v>25</v>
      </c>
      <c r="C178">
        <v>17872796</v>
      </c>
      <c r="D178">
        <v>4065021</v>
      </c>
      <c r="E178">
        <v>13807775</v>
      </c>
      <c r="F178" t="s">
        <v>243</v>
      </c>
      <c r="G178">
        <v>2025</v>
      </c>
    </row>
    <row r="179" spans="1:7" x14ac:dyDescent="0.35">
      <c r="A179" t="s">
        <v>50</v>
      </c>
      <c r="B179" t="s">
        <v>8</v>
      </c>
      <c r="C179">
        <v>10422659</v>
      </c>
      <c r="D179">
        <v>8777125</v>
      </c>
      <c r="E179">
        <v>1645534</v>
      </c>
      <c r="F179" t="s">
        <v>244</v>
      </c>
      <c r="G179">
        <v>2024</v>
      </c>
    </row>
    <row r="180" spans="1:7" x14ac:dyDescent="0.35">
      <c r="A180" t="s">
        <v>30</v>
      </c>
      <c r="B180" t="s">
        <v>11</v>
      </c>
      <c r="C180">
        <v>2093322</v>
      </c>
      <c r="D180">
        <v>846252</v>
      </c>
      <c r="E180">
        <v>1247070</v>
      </c>
      <c r="F180" t="s">
        <v>245</v>
      </c>
      <c r="G180">
        <v>2025</v>
      </c>
    </row>
    <row r="181" spans="1:7" x14ac:dyDescent="0.35">
      <c r="A181" t="s">
        <v>21</v>
      </c>
      <c r="B181" t="s">
        <v>25</v>
      </c>
      <c r="C181">
        <v>12433378</v>
      </c>
      <c r="D181">
        <v>3398230</v>
      </c>
      <c r="E181">
        <v>9035148</v>
      </c>
      <c r="F181" t="s">
        <v>246</v>
      </c>
      <c r="G181">
        <v>2025</v>
      </c>
    </row>
    <row r="182" spans="1:7" x14ac:dyDescent="0.35">
      <c r="A182" t="s">
        <v>15</v>
      </c>
      <c r="B182" t="s">
        <v>11</v>
      </c>
      <c r="C182">
        <v>9814492</v>
      </c>
      <c r="D182">
        <v>5074629</v>
      </c>
      <c r="E182">
        <v>4739863</v>
      </c>
      <c r="F182" t="s">
        <v>247</v>
      </c>
      <c r="G182">
        <v>2024</v>
      </c>
    </row>
    <row r="183" spans="1:7" x14ac:dyDescent="0.35">
      <c r="A183" t="s">
        <v>10</v>
      </c>
      <c r="B183" t="s">
        <v>74</v>
      </c>
      <c r="C183">
        <v>9406634</v>
      </c>
      <c r="D183">
        <v>1310092</v>
      </c>
      <c r="E183">
        <v>8096542</v>
      </c>
      <c r="F183" t="s">
        <v>248</v>
      </c>
      <c r="G183">
        <v>2025</v>
      </c>
    </row>
    <row r="184" spans="1:7" x14ac:dyDescent="0.35">
      <c r="A184" t="s">
        <v>47</v>
      </c>
      <c r="B184" t="s">
        <v>11</v>
      </c>
      <c r="C184">
        <v>10887632</v>
      </c>
      <c r="D184">
        <v>3314932</v>
      </c>
      <c r="E184">
        <v>7572700</v>
      </c>
      <c r="F184" t="s">
        <v>249</v>
      </c>
      <c r="G184">
        <v>2025</v>
      </c>
    </row>
    <row r="185" spans="1:7" x14ac:dyDescent="0.35">
      <c r="A185" t="s">
        <v>30</v>
      </c>
      <c r="B185" t="s">
        <v>25</v>
      </c>
      <c r="C185">
        <v>13243123</v>
      </c>
      <c r="D185">
        <v>5468428</v>
      </c>
      <c r="E185">
        <v>7774695</v>
      </c>
      <c r="F185" t="s">
        <v>250</v>
      </c>
      <c r="G185">
        <v>2025</v>
      </c>
    </row>
    <row r="186" spans="1:7" x14ac:dyDescent="0.35">
      <c r="A186" t="s">
        <v>50</v>
      </c>
      <c r="B186" t="s">
        <v>11</v>
      </c>
      <c r="C186">
        <v>9869633</v>
      </c>
      <c r="D186" t="s">
        <v>251</v>
      </c>
      <c r="E186">
        <v>1160931</v>
      </c>
      <c r="F186" t="s">
        <v>252</v>
      </c>
      <c r="G186">
        <v>2024</v>
      </c>
    </row>
    <row r="187" spans="1:7" x14ac:dyDescent="0.35">
      <c r="A187" t="s">
        <v>47</v>
      </c>
      <c r="B187" t="s">
        <v>25</v>
      </c>
      <c r="C187">
        <v>9166769</v>
      </c>
      <c r="D187">
        <v>7049977</v>
      </c>
      <c r="E187">
        <v>2116792</v>
      </c>
      <c r="F187" t="s">
        <v>253</v>
      </c>
      <c r="G187">
        <v>2024</v>
      </c>
    </row>
    <row r="188" spans="1:7" x14ac:dyDescent="0.35">
      <c r="A188" t="s">
        <v>7</v>
      </c>
      <c r="B188" t="s">
        <v>25</v>
      </c>
      <c r="C188">
        <v>10655734</v>
      </c>
      <c r="D188">
        <v>2408508</v>
      </c>
      <c r="E188">
        <v>8247226</v>
      </c>
      <c r="F188" t="s">
        <v>254</v>
      </c>
      <c r="G188">
        <v>2025</v>
      </c>
    </row>
    <row r="189" spans="1:7" x14ac:dyDescent="0.35">
      <c r="A189" t="s">
        <v>7</v>
      </c>
      <c r="B189" t="s">
        <v>11</v>
      </c>
      <c r="C189">
        <v>6629660</v>
      </c>
      <c r="D189">
        <v>3523400</v>
      </c>
      <c r="E189">
        <v>3106260</v>
      </c>
      <c r="F189" t="s">
        <v>255</v>
      </c>
      <c r="G189">
        <v>2024</v>
      </c>
    </row>
    <row r="190" spans="1:7" x14ac:dyDescent="0.35">
      <c r="A190" t="s">
        <v>47</v>
      </c>
      <c r="B190" t="s">
        <v>11</v>
      </c>
      <c r="C190">
        <v>10887632</v>
      </c>
      <c r="D190">
        <v>3314932</v>
      </c>
      <c r="E190">
        <v>7572700</v>
      </c>
      <c r="F190" t="s">
        <v>256</v>
      </c>
      <c r="G190">
        <v>2024</v>
      </c>
    </row>
    <row r="191" spans="1:7" x14ac:dyDescent="0.35">
      <c r="A191" t="s">
        <v>21</v>
      </c>
      <c r="B191" t="s">
        <v>11</v>
      </c>
      <c r="C191" t="s">
        <v>146</v>
      </c>
      <c r="D191">
        <v>2466037</v>
      </c>
      <c r="E191">
        <v>4175709</v>
      </c>
      <c r="F191" t="s">
        <v>257</v>
      </c>
      <c r="G191">
        <v>2024</v>
      </c>
    </row>
    <row r="192" spans="1:7" x14ac:dyDescent="0.35">
      <c r="A192" t="s">
        <v>88</v>
      </c>
      <c r="B192" t="s">
        <v>74</v>
      </c>
      <c r="C192">
        <v>12433378</v>
      </c>
      <c r="D192">
        <v>3398230</v>
      </c>
      <c r="E192">
        <v>9035148</v>
      </c>
      <c r="F192" t="s">
        <v>258</v>
      </c>
      <c r="G192">
        <v>2025</v>
      </c>
    </row>
    <row r="193" spans="1:7" x14ac:dyDescent="0.35">
      <c r="A193" t="s">
        <v>13</v>
      </c>
      <c r="B193" t="s">
        <v>11</v>
      </c>
      <c r="C193">
        <v>7684666</v>
      </c>
      <c r="D193" t="s">
        <v>259</v>
      </c>
      <c r="E193" t="s">
        <v>99</v>
      </c>
      <c r="F193" t="s">
        <v>260</v>
      </c>
      <c r="G193">
        <v>2024</v>
      </c>
    </row>
    <row r="194" spans="1:7" x14ac:dyDescent="0.35">
      <c r="A194" t="s">
        <v>30</v>
      </c>
      <c r="B194" t="s">
        <v>11</v>
      </c>
      <c r="C194">
        <v>2093322</v>
      </c>
      <c r="D194">
        <v>846252</v>
      </c>
      <c r="E194">
        <v>1247070</v>
      </c>
      <c r="F194" t="s">
        <v>261</v>
      </c>
      <c r="G194">
        <v>2025</v>
      </c>
    </row>
    <row r="195" spans="1:7" x14ac:dyDescent="0.35">
      <c r="A195" t="s">
        <v>33</v>
      </c>
      <c r="B195" t="s">
        <v>25</v>
      </c>
      <c r="C195">
        <v>17772619</v>
      </c>
      <c r="D195">
        <v>3751148</v>
      </c>
      <c r="E195" t="s">
        <v>108</v>
      </c>
      <c r="F195" t="s">
        <v>262</v>
      </c>
      <c r="G195">
        <v>2024</v>
      </c>
    </row>
    <row r="196" spans="1:7" x14ac:dyDescent="0.35">
      <c r="A196" t="s">
        <v>13</v>
      </c>
      <c r="B196" t="s">
        <v>25</v>
      </c>
      <c r="C196">
        <v>13395811</v>
      </c>
      <c r="D196">
        <v>8109917</v>
      </c>
      <c r="E196">
        <v>5285894</v>
      </c>
      <c r="F196" t="s">
        <v>263</v>
      </c>
      <c r="G196">
        <v>2025</v>
      </c>
    </row>
    <row r="197" spans="1:7" x14ac:dyDescent="0.35">
      <c r="A197" t="s">
        <v>38</v>
      </c>
      <c r="B197" t="s">
        <v>11</v>
      </c>
      <c r="C197">
        <v>3115955</v>
      </c>
      <c r="D197">
        <v>2888010</v>
      </c>
      <c r="E197">
        <v>227945</v>
      </c>
      <c r="F197" t="s">
        <v>264</v>
      </c>
      <c r="G197">
        <v>2025</v>
      </c>
    </row>
    <row r="198" spans="1:7" x14ac:dyDescent="0.35">
      <c r="A198" t="s">
        <v>81</v>
      </c>
      <c r="B198" t="s">
        <v>25</v>
      </c>
      <c r="C198">
        <v>6659621</v>
      </c>
      <c r="D198">
        <v>5718412</v>
      </c>
      <c r="E198">
        <v>941209</v>
      </c>
      <c r="F198" t="s">
        <v>158</v>
      </c>
      <c r="G198">
        <v>2025</v>
      </c>
    </row>
    <row r="199" spans="1:7" x14ac:dyDescent="0.35">
      <c r="A199" t="s">
        <v>21</v>
      </c>
      <c r="B199" t="s">
        <v>68</v>
      </c>
      <c r="C199">
        <v>6641746</v>
      </c>
      <c r="D199">
        <v>2466037</v>
      </c>
      <c r="E199">
        <v>4175709</v>
      </c>
      <c r="F199" t="s">
        <v>265</v>
      </c>
      <c r="G199">
        <v>2024</v>
      </c>
    </row>
    <row r="200" spans="1:7" x14ac:dyDescent="0.35">
      <c r="A200" t="s">
        <v>47</v>
      </c>
      <c r="B200" t="s">
        <v>266</v>
      </c>
      <c r="C200">
        <v>10887632</v>
      </c>
      <c r="D200">
        <v>3314932</v>
      </c>
      <c r="E200">
        <v>7572700</v>
      </c>
      <c r="F200" t="s">
        <v>267</v>
      </c>
      <c r="G200">
        <v>2024</v>
      </c>
    </row>
    <row r="201" spans="1:7" x14ac:dyDescent="0.35">
      <c r="A201" t="s">
        <v>24</v>
      </c>
      <c r="B201" t="s">
        <v>11</v>
      </c>
      <c r="C201">
        <v>7713630</v>
      </c>
      <c r="D201">
        <v>1832250</v>
      </c>
      <c r="E201">
        <v>5881380</v>
      </c>
      <c r="F201" t="s">
        <v>268</v>
      </c>
      <c r="G201">
        <v>2024</v>
      </c>
    </row>
    <row r="202" spans="1:7" x14ac:dyDescent="0.35">
      <c r="A202" t="s">
        <v>19</v>
      </c>
      <c r="B202" t="s">
        <v>25</v>
      </c>
      <c r="C202">
        <v>17872796</v>
      </c>
      <c r="D202">
        <v>4065021</v>
      </c>
      <c r="E202">
        <v>13807775</v>
      </c>
      <c r="F202" t="s">
        <v>269</v>
      </c>
      <c r="G202">
        <v>2025</v>
      </c>
    </row>
    <row r="203" spans="1:7" x14ac:dyDescent="0.35">
      <c r="A203" t="s">
        <v>186</v>
      </c>
      <c r="B203" t="s">
        <v>25</v>
      </c>
      <c r="C203">
        <v>10422659</v>
      </c>
      <c r="D203">
        <v>8777125</v>
      </c>
      <c r="E203">
        <v>1645534</v>
      </c>
      <c r="F203" t="s">
        <v>270</v>
      </c>
      <c r="G203">
        <v>2025</v>
      </c>
    </row>
    <row r="204" spans="1:7" x14ac:dyDescent="0.35">
      <c r="A204" t="s">
        <v>13</v>
      </c>
      <c r="B204" t="s">
        <v>25</v>
      </c>
      <c r="C204">
        <v>13395811</v>
      </c>
      <c r="D204">
        <v>8109917</v>
      </c>
      <c r="E204">
        <v>5285894</v>
      </c>
      <c r="F204" t="s">
        <v>271</v>
      </c>
      <c r="G204">
        <v>2025</v>
      </c>
    </row>
    <row r="205" spans="1:7" x14ac:dyDescent="0.35">
      <c r="A205" t="s">
        <v>19</v>
      </c>
      <c r="B205" t="s">
        <v>25</v>
      </c>
      <c r="C205">
        <v>17872796</v>
      </c>
      <c r="D205">
        <v>4065021</v>
      </c>
      <c r="E205">
        <v>13807775</v>
      </c>
      <c r="F205" t="s">
        <v>272</v>
      </c>
      <c r="G205">
        <v>2025</v>
      </c>
    </row>
    <row r="206" spans="1:7" x14ac:dyDescent="0.35">
      <c r="A206" t="s">
        <v>47</v>
      </c>
      <c r="B206" t="s">
        <v>11</v>
      </c>
      <c r="C206">
        <v>10887632</v>
      </c>
      <c r="D206">
        <v>3314932</v>
      </c>
      <c r="E206">
        <v>7572700</v>
      </c>
      <c r="F206" t="s">
        <v>273</v>
      </c>
      <c r="G206">
        <v>2024</v>
      </c>
    </row>
    <row r="207" spans="1:7" x14ac:dyDescent="0.35">
      <c r="A207" t="s">
        <v>274</v>
      </c>
      <c r="B207" t="s">
        <v>25</v>
      </c>
      <c r="C207">
        <v>13243123</v>
      </c>
      <c r="D207">
        <v>5468428</v>
      </c>
      <c r="E207">
        <v>7774695</v>
      </c>
      <c r="F207" t="s">
        <v>275</v>
      </c>
      <c r="G207">
        <v>2025</v>
      </c>
    </row>
    <row r="208" spans="1:7" x14ac:dyDescent="0.35">
      <c r="A208" t="s">
        <v>15</v>
      </c>
      <c r="B208" t="s">
        <v>11</v>
      </c>
      <c r="C208" t="s">
        <v>276</v>
      </c>
      <c r="D208">
        <v>5074629</v>
      </c>
      <c r="E208">
        <v>4739863</v>
      </c>
      <c r="F208" t="s">
        <v>277</v>
      </c>
      <c r="G208">
        <v>2024</v>
      </c>
    </row>
    <row r="209" spans="1:7" x14ac:dyDescent="0.35">
      <c r="A209" t="s">
        <v>24</v>
      </c>
      <c r="B209" t="s">
        <v>25</v>
      </c>
      <c r="C209">
        <v>6659621</v>
      </c>
      <c r="D209">
        <v>5718412</v>
      </c>
      <c r="E209">
        <v>941209</v>
      </c>
      <c r="F209" t="s">
        <v>278</v>
      </c>
      <c r="G209">
        <v>2024</v>
      </c>
    </row>
    <row r="210" spans="1:7" x14ac:dyDescent="0.35">
      <c r="A210" t="s">
        <v>7</v>
      </c>
      <c r="B210" t="s">
        <v>25</v>
      </c>
      <c r="C210">
        <v>10655734</v>
      </c>
      <c r="D210">
        <v>2408508</v>
      </c>
      <c r="E210">
        <v>8247226</v>
      </c>
      <c r="F210" t="s">
        <v>118</v>
      </c>
      <c r="G210">
        <v>2024</v>
      </c>
    </row>
    <row r="211" spans="1:7" x14ac:dyDescent="0.35">
      <c r="A211" t="s">
        <v>30</v>
      </c>
      <c r="B211" t="s">
        <v>11</v>
      </c>
      <c r="C211">
        <v>2093322</v>
      </c>
      <c r="D211">
        <v>846252</v>
      </c>
      <c r="E211">
        <v>1247070</v>
      </c>
      <c r="F211" t="s">
        <v>279</v>
      </c>
      <c r="G211">
        <v>2024</v>
      </c>
    </row>
    <row r="212" spans="1:7" x14ac:dyDescent="0.35">
      <c r="A212" t="s">
        <v>50</v>
      </c>
      <c r="B212" t="s">
        <v>25</v>
      </c>
      <c r="C212">
        <v>10422659</v>
      </c>
      <c r="D212" t="s">
        <v>229</v>
      </c>
      <c r="E212">
        <v>1645534</v>
      </c>
      <c r="F212" t="s">
        <v>280</v>
      </c>
      <c r="G212">
        <v>2024</v>
      </c>
    </row>
    <row r="213" spans="1:7" x14ac:dyDescent="0.35">
      <c r="A213" t="s">
        <v>15</v>
      </c>
      <c r="B213" t="s">
        <v>11</v>
      </c>
      <c r="C213">
        <v>9814492</v>
      </c>
      <c r="D213">
        <v>5074629</v>
      </c>
      <c r="E213">
        <v>4739863</v>
      </c>
      <c r="F213" t="s">
        <v>281</v>
      </c>
      <c r="G213">
        <v>2024</v>
      </c>
    </row>
    <row r="214" spans="1:7" x14ac:dyDescent="0.35">
      <c r="A214" t="s">
        <v>19</v>
      </c>
      <c r="B214" t="s">
        <v>11</v>
      </c>
      <c r="C214">
        <v>7409657</v>
      </c>
      <c r="D214">
        <v>6271336</v>
      </c>
      <c r="E214">
        <v>1138321</v>
      </c>
      <c r="F214" t="s">
        <v>282</v>
      </c>
      <c r="G214">
        <v>2025</v>
      </c>
    </row>
    <row r="215" spans="1:7" x14ac:dyDescent="0.35">
      <c r="A215" t="s">
        <v>21</v>
      </c>
      <c r="B215" t="s">
        <v>25</v>
      </c>
      <c r="C215">
        <v>12433378</v>
      </c>
      <c r="D215">
        <v>3398230</v>
      </c>
      <c r="E215">
        <v>9035148</v>
      </c>
      <c r="F215" t="s">
        <v>283</v>
      </c>
      <c r="G215">
        <v>2024</v>
      </c>
    </row>
    <row r="216" spans="1:7" x14ac:dyDescent="0.35">
      <c r="A216" t="s">
        <v>148</v>
      </c>
      <c r="B216" t="s">
        <v>25</v>
      </c>
      <c r="C216">
        <v>10422659</v>
      </c>
      <c r="D216">
        <v>8777125</v>
      </c>
      <c r="E216">
        <v>1645534</v>
      </c>
      <c r="F216" t="s">
        <v>284</v>
      </c>
      <c r="G216">
        <v>2025</v>
      </c>
    </row>
    <row r="217" spans="1:7" x14ac:dyDescent="0.35">
      <c r="A217" t="s">
        <v>24</v>
      </c>
      <c r="B217" t="s">
        <v>11</v>
      </c>
      <c r="C217">
        <v>7713630</v>
      </c>
      <c r="D217">
        <v>1832250</v>
      </c>
      <c r="E217">
        <v>5881380</v>
      </c>
      <c r="F217" t="s">
        <v>285</v>
      </c>
      <c r="G217">
        <v>2025</v>
      </c>
    </row>
    <row r="218" spans="1:7" x14ac:dyDescent="0.35">
      <c r="A218" t="s">
        <v>19</v>
      </c>
      <c r="B218" t="s">
        <v>25</v>
      </c>
      <c r="C218">
        <v>17872796</v>
      </c>
      <c r="D218">
        <v>4065021</v>
      </c>
      <c r="E218">
        <v>13807775</v>
      </c>
      <c r="F218" t="s">
        <v>286</v>
      </c>
      <c r="G218">
        <v>2025</v>
      </c>
    </row>
    <row r="219" spans="1:7" x14ac:dyDescent="0.35">
      <c r="A219" t="s">
        <v>47</v>
      </c>
      <c r="B219" t="s">
        <v>25</v>
      </c>
      <c r="C219">
        <v>9166769</v>
      </c>
      <c r="D219">
        <v>7049977</v>
      </c>
      <c r="E219">
        <v>2116792</v>
      </c>
      <c r="F219" t="s">
        <v>114</v>
      </c>
      <c r="G219">
        <v>2024</v>
      </c>
    </row>
    <row r="220" spans="1:7" x14ac:dyDescent="0.35">
      <c r="A220" t="s">
        <v>50</v>
      </c>
      <c r="B220" t="s">
        <v>25</v>
      </c>
      <c r="C220">
        <v>10422659</v>
      </c>
      <c r="D220">
        <v>8777125</v>
      </c>
      <c r="E220">
        <v>1645534</v>
      </c>
      <c r="F220" t="s">
        <v>287</v>
      </c>
      <c r="G220">
        <v>2024</v>
      </c>
    </row>
    <row r="221" spans="1:7" x14ac:dyDescent="0.35">
      <c r="A221" t="s">
        <v>7</v>
      </c>
      <c r="B221" t="s">
        <v>11</v>
      </c>
      <c r="C221">
        <v>6629660</v>
      </c>
      <c r="D221">
        <v>3523400</v>
      </c>
      <c r="E221">
        <v>3106260</v>
      </c>
      <c r="F221" t="s">
        <v>288</v>
      </c>
      <c r="G221">
        <v>2025</v>
      </c>
    </row>
    <row r="222" spans="1:7" x14ac:dyDescent="0.35">
      <c r="A222" t="s">
        <v>50</v>
      </c>
      <c r="B222" t="s">
        <v>11</v>
      </c>
      <c r="C222">
        <v>9869633</v>
      </c>
      <c r="D222" t="s">
        <v>251</v>
      </c>
      <c r="E222">
        <v>1160931</v>
      </c>
      <c r="F222" t="s">
        <v>289</v>
      </c>
      <c r="G222">
        <v>2024</v>
      </c>
    </row>
    <row r="223" spans="1:7" x14ac:dyDescent="0.35">
      <c r="A223" t="s">
        <v>50</v>
      </c>
      <c r="B223" t="s">
        <v>8</v>
      </c>
      <c r="C223">
        <v>10422659</v>
      </c>
      <c r="D223">
        <v>8777125</v>
      </c>
      <c r="E223">
        <v>1645534</v>
      </c>
      <c r="F223" t="s">
        <v>290</v>
      </c>
      <c r="G223">
        <v>2024</v>
      </c>
    </row>
    <row r="224" spans="1:7" x14ac:dyDescent="0.35">
      <c r="A224" t="s">
        <v>50</v>
      </c>
      <c r="B224" t="s">
        <v>102</v>
      </c>
      <c r="C224">
        <v>9869633</v>
      </c>
      <c r="D224">
        <v>8708702</v>
      </c>
      <c r="E224">
        <v>1160931</v>
      </c>
      <c r="F224" t="s">
        <v>291</v>
      </c>
      <c r="G224">
        <v>2024</v>
      </c>
    </row>
    <row r="225" spans="1:7" x14ac:dyDescent="0.35">
      <c r="A225" t="s">
        <v>17</v>
      </c>
      <c r="B225" t="s">
        <v>11</v>
      </c>
      <c r="C225" t="s">
        <v>276</v>
      </c>
      <c r="D225">
        <v>5074629</v>
      </c>
      <c r="E225">
        <v>4739863</v>
      </c>
      <c r="F225" t="s">
        <v>292</v>
      </c>
      <c r="G225">
        <v>2024</v>
      </c>
    </row>
    <row r="226" spans="1:7" x14ac:dyDescent="0.35">
      <c r="A226" t="s">
        <v>38</v>
      </c>
      <c r="B226" t="s">
        <v>11</v>
      </c>
      <c r="C226">
        <v>3115955</v>
      </c>
      <c r="D226">
        <v>2888010</v>
      </c>
      <c r="E226">
        <v>227945</v>
      </c>
      <c r="F226" t="s">
        <v>293</v>
      </c>
      <c r="G226">
        <v>2024</v>
      </c>
    </row>
    <row r="227" spans="1:7" x14ac:dyDescent="0.35">
      <c r="A227" t="s">
        <v>30</v>
      </c>
      <c r="B227" t="s">
        <v>25</v>
      </c>
      <c r="C227">
        <v>13243123</v>
      </c>
      <c r="D227">
        <v>5468428</v>
      </c>
      <c r="E227">
        <v>7774695</v>
      </c>
      <c r="F227" t="s">
        <v>294</v>
      </c>
      <c r="G227">
        <v>2024</v>
      </c>
    </row>
    <row r="228" spans="1:7" x14ac:dyDescent="0.35">
      <c r="A228" t="s">
        <v>38</v>
      </c>
      <c r="B228" t="s">
        <v>11</v>
      </c>
      <c r="C228">
        <v>3115955</v>
      </c>
      <c r="D228">
        <v>2888010</v>
      </c>
      <c r="E228">
        <v>227945</v>
      </c>
      <c r="F228" t="s">
        <v>295</v>
      </c>
      <c r="G228">
        <v>2024</v>
      </c>
    </row>
    <row r="229" spans="1:7" x14ac:dyDescent="0.35">
      <c r="A229" t="s">
        <v>13</v>
      </c>
      <c r="B229" t="s">
        <v>11</v>
      </c>
      <c r="C229">
        <v>7684666</v>
      </c>
      <c r="D229">
        <v>5053533</v>
      </c>
      <c r="E229">
        <v>2631133</v>
      </c>
      <c r="F229" t="s">
        <v>296</v>
      </c>
      <c r="G229">
        <v>2025</v>
      </c>
    </row>
    <row r="230" spans="1:7" x14ac:dyDescent="0.35">
      <c r="A230" t="s">
        <v>50</v>
      </c>
      <c r="B230" t="s">
        <v>11</v>
      </c>
      <c r="C230">
        <v>9869633</v>
      </c>
      <c r="D230">
        <v>8708702</v>
      </c>
      <c r="E230">
        <v>1160931</v>
      </c>
      <c r="F230" t="s">
        <v>297</v>
      </c>
      <c r="G230">
        <v>2025</v>
      </c>
    </row>
    <row r="231" spans="1:7" x14ac:dyDescent="0.35">
      <c r="A231" t="s">
        <v>24</v>
      </c>
      <c r="B231" t="s">
        <v>11</v>
      </c>
      <c r="C231">
        <v>7713630</v>
      </c>
      <c r="D231">
        <v>1832250</v>
      </c>
      <c r="E231">
        <v>5881380</v>
      </c>
      <c r="F231" t="s">
        <v>298</v>
      </c>
      <c r="G231">
        <v>2025</v>
      </c>
    </row>
    <row r="232" spans="1:7" x14ac:dyDescent="0.35">
      <c r="A232" t="s">
        <v>7</v>
      </c>
      <c r="B232" t="s">
        <v>25</v>
      </c>
      <c r="C232">
        <v>10655734</v>
      </c>
      <c r="D232" t="s">
        <v>212</v>
      </c>
      <c r="E232">
        <v>8247226</v>
      </c>
      <c r="F232" t="s">
        <v>299</v>
      </c>
      <c r="G232">
        <v>2024</v>
      </c>
    </row>
    <row r="233" spans="1:7" x14ac:dyDescent="0.35">
      <c r="A233" t="s">
        <v>300</v>
      </c>
      <c r="B233" t="s">
        <v>68</v>
      </c>
      <c r="C233">
        <v>7684666</v>
      </c>
      <c r="D233" t="s">
        <v>259</v>
      </c>
      <c r="E233">
        <v>2631133</v>
      </c>
      <c r="F233" t="s">
        <v>301</v>
      </c>
      <c r="G233">
        <v>2024</v>
      </c>
    </row>
    <row r="234" spans="1:7" x14ac:dyDescent="0.35">
      <c r="A234" t="s">
        <v>19</v>
      </c>
      <c r="B234" t="s">
        <v>11</v>
      </c>
      <c r="C234">
        <v>7409657</v>
      </c>
      <c r="D234">
        <v>6271336</v>
      </c>
      <c r="E234">
        <v>1138321</v>
      </c>
      <c r="F234" t="s">
        <v>20</v>
      </c>
      <c r="G234">
        <v>2024</v>
      </c>
    </row>
    <row r="235" spans="1:7" x14ac:dyDescent="0.35">
      <c r="A235" t="s">
        <v>19</v>
      </c>
      <c r="B235" t="s">
        <v>74</v>
      </c>
      <c r="C235">
        <v>17872796</v>
      </c>
      <c r="D235">
        <v>4065021</v>
      </c>
      <c r="E235">
        <v>13807775</v>
      </c>
      <c r="F235" t="s">
        <v>302</v>
      </c>
      <c r="G235">
        <v>2025</v>
      </c>
    </row>
    <row r="236" spans="1:7" x14ac:dyDescent="0.35">
      <c r="A236" t="s">
        <v>33</v>
      </c>
      <c r="B236" t="s">
        <v>11</v>
      </c>
      <c r="C236">
        <v>10932582</v>
      </c>
      <c r="D236">
        <v>9516586</v>
      </c>
      <c r="E236">
        <v>1415996</v>
      </c>
      <c r="F236" t="s">
        <v>303</v>
      </c>
      <c r="G236">
        <v>2025</v>
      </c>
    </row>
    <row r="237" spans="1:7" x14ac:dyDescent="0.35">
      <c r="A237" t="s">
        <v>24</v>
      </c>
      <c r="B237" t="s">
        <v>11</v>
      </c>
      <c r="C237">
        <v>7713630</v>
      </c>
      <c r="D237">
        <v>1832250</v>
      </c>
      <c r="E237">
        <v>5881380</v>
      </c>
      <c r="F237" t="s">
        <v>304</v>
      </c>
      <c r="G237">
        <v>2024</v>
      </c>
    </row>
    <row r="238" spans="1:7" x14ac:dyDescent="0.35">
      <c r="A238" t="s">
        <v>10</v>
      </c>
      <c r="B238" t="s">
        <v>68</v>
      </c>
      <c r="C238">
        <v>5297234</v>
      </c>
      <c r="D238">
        <v>3596622</v>
      </c>
      <c r="E238">
        <v>1700612</v>
      </c>
      <c r="F238" t="s">
        <v>305</v>
      </c>
      <c r="G238">
        <v>2025</v>
      </c>
    </row>
    <row r="239" spans="1:7" x14ac:dyDescent="0.35">
      <c r="A239" t="s">
        <v>88</v>
      </c>
      <c r="B239" t="s">
        <v>25</v>
      </c>
      <c r="C239" t="s">
        <v>22</v>
      </c>
      <c r="D239">
        <v>3398230</v>
      </c>
      <c r="E239">
        <v>9035148</v>
      </c>
      <c r="F239" t="s">
        <v>306</v>
      </c>
      <c r="G239">
        <v>2025</v>
      </c>
    </row>
    <row r="240" spans="1:7" x14ac:dyDescent="0.35">
      <c r="A240" t="s">
        <v>274</v>
      </c>
      <c r="B240" t="s">
        <v>25</v>
      </c>
      <c r="C240">
        <v>13243123</v>
      </c>
      <c r="D240">
        <v>5468428</v>
      </c>
      <c r="E240">
        <v>7774695</v>
      </c>
      <c r="F240" t="s">
        <v>307</v>
      </c>
      <c r="G240">
        <v>2025</v>
      </c>
    </row>
    <row r="241" spans="1:7" x14ac:dyDescent="0.35">
      <c r="A241" t="s">
        <v>15</v>
      </c>
      <c r="B241" t="s">
        <v>11</v>
      </c>
      <c r="C241">
        <v>9814492</v>
      </c>
      <c r="D241">
        <v>5074629</v>
      </c>
      <c r="E241">
        <v>4739863</v>
      </c>
      <c r="F241" t="s">
        <v>308</v>
      </c>
      <c r="G241">
        <v>2024</v>
      </c>
    </row>
    <row r="242" spans="1:7" x14ac:dyDescent="0.35">
      <c r="A242" t="s">
        <v>7</v>
      </c>
      <c r="B242" t="s">
        <v>11</v>
      </c>
      <c r="C242">
        <v>6629660</v>
      </c>
      <c r="D242">
        <v>3523400</v>
      </c>
      <c r="E242">
        <v>3106260</v>
      </c>
      <c r="F242" t="s">
        <v>309</v>
      </c>
      <c r="G242">
        <v>2024</v>
      </c>
    </row>
    <row r="243" spans="1:7" x14ac:dyDescent="0.35">
      <c r="B243" t="s">
        <v>25</v>
      </c>
      <c r="C243">
        <v>13395142</v>
      </c>
      <c r="D243">
        <v>3866714</v>
      </c>
      <c r="E243">
        <v>9528428</v>
      </c>
      <c r="F243" t="s">
        <v>310</v>
      </c>
      <c r="G243">
        <v>2025</v>
      </c>
    </row>
    <row r="244" spans="1:7" x14ac:dyDescent="0.35">
      <c r="A244" t="s">
        <v>33</v>
      </c>
      <c r="B244" t="s">
        <v>25</v>
      </c>
      <c r="C244">
        <v>17772619</v>
      </c>
      <c r="D244">
        <v>3751148</v>
      </c>
      <c r="E244">
        <v>14021471</v>
      </c>
      <c r="F244" t="s">
        <v>311</v>
      </c>
      <c r="G244">
        <v>2025</v>
      </c>
    </row>
    <row r="245" spans="1:7" x14ac:dyDescent="0.35">
      <c r="A245" t="s">
        <v>38</v>
      </c>
      <c r="B245" t="s">
        <v>25</v>
      </c>
      <c r="C245">
        <v>8925622</v>
      </c>
      <c r="D245">
        <v>7859625</v>
      </c>
      <c r="E245" t="s">
        <v>312</v>
      </c>
      <c r="F245" t="s">
        <v>313</v>
      </c>
      <c r="G245">
        <v>2025</v>
      </c>
    </row>
    <row r="246" spans="1:7" x14ac:dyDescent="0.35">
      <c r="A246" t="s">
        <v>24</v>
      </c>
      <c r="B246" t="s">
        <v>11</v>
      </c>
      <c r="C246">
        <v>7713630</v>
      </c>
      <c r="D246">
        <v>1832250</v>
      </c>
      <c r="E246">
        <v>5881380</v>
      </c>
      <c r="F246" t="s">
        <v>314</v>
      </c>
      <c r="G246">
        <v>2024</v>
      </c>
    </row>
    <row r="247" spans="1:7" x14ac:dyDescent="0.35">
      <c r="A247" t="s">
        <v>38</v>
      </c>
      <c r="B247" t="s">
        <v>11</v>
      </c>
      <c r="C247">
        <v>3115955</v>
      </c>
      <c r="D247">
        <v>2888010</v>
      </c>
      <c r="E247" t="s">
        <v>192</v>
      </c>
      <c r="F247" t="s">
        <v>193</v>
      </c>
      <c r="G247">
        <v>2024</v>
      </c>
    </row>
    <row r="248" spans="1:7" x14ac:dyDescent="0.35">
      <c r="A248" t="s">
        <v>21</v>
      </c>
      <c r="B248" t="s">
        <v>11</v>
      </c>
      <c r="C248">
        <v>6641746</v>
      </c>
      <c r="D248">
        <v>2466037</v>
      </c>
      <c r="E248">
        <v>4175709</v>
      </c>
      <c r="F248" t="s">
        <v>315</v>
      </c>
      <c r="G248">
        <v>2025</v>
      </c>
    </row>
    <row r="249" spans="1:7" x14ac:dyDescent="0.35">
      <c r="A249" t="s">
        <v>30</v>
      </c>
      <c r="B249" t="s">
        <v>25</v>
      </c>
      <c r="C249">
        <v>13243123</v>
      </c>
      <c r="D249">
        <v>5468428</v>
      </c>
      <c r="E249">
        <v>7774695</v>
      </c>
      <c r="F249" t="s">
        <v>195</v>
      </c>
      <c r="G249">
        <v>2024</v>
      </c>
    </row>
    <row r="250" spans="1:7" x14ac:dyDescent="0.35">
      <c r="A250" t="s">
        <v>13</v>
      </c>
      <c r="B250" t="s">
        <v>11</v>
      </c>
      <c r="C250">
        <v>7684666</v>
      </c>
      <c r="D250">
        <v>5053533</v>
      </c>
      <c r="E250">
        <v>2631133</v>
      </c>
      <c r="F250" t="s">
        <v>316</v>
      </c>
      <c r="G250">
        <v>2024</v>
      </c>
    </row>
    <row r="251" spans="1:7" x14ac:dyDescent="0.35">
      <c r="B251" t="s">
        <v>25</v>
      </c>
      <c r="C251">
        <v>9406634</v>
      </c>
      <c r="D251">
        <v>1310092</v>
      </c>
      <c r="E251">
        <v>8096542</v>
      </c>
      <c r="F251" t="s">
        <v>317</v>
      </c>
      <c r="G251">
        <v>2024</v>
      </c>
    </row>
    <row r="252" spans="1:7" x14ac:dyDescent="0.35">
      <c r="A252" t="s">
        <v>10</v>
      </c>
      <c r="B252" t="s">
        <v>25</v>
      </c>
      <c r="C252">
        <v>9406634</v>
      </c>
      <c r="D252">
        <v>1310092</v>
      </c>
      <c r="E252">
        <v>8096542</v>
      </c>
      <c r="F252" t="s">
        <v>16</v>
      </c>
      <c r="G252">
        <v>2025</v>
      </c>
    </row>
    <row r="253" spans="1:7" x14ac:dyDescent="0.35">
      <c r="A253" t="s">
        <v>50</v>
      </c>
      <c r="B253" t="s">
        <v>11</v>
      </c>
      <c r="C253">
        <v>9869633</v>
      </c>
      <c r="D253">
        <v>8708702</v>
      </c>
      <c r="E253">
        <v>1160931</v>
      </c>
      <c r="F253" t="s">
        <v>318</v>
      </c>
      <c r="G253">
        <v>2025</v>
      </c>
    </row>
    <row r="254" spans="1:7" x14ac:dyDescent="0.35">
      <c r="B254" t="s">
        <v>25</v>
      </c>
      <c r="C254">
        <v>10655734</v>
      </c>
      <c r="D254">
        <v>2408508</v>
      </c>
      <c r="E254">
        <v>8247226</v>
      </c>
      <c r="F254" t="s">
        <v>319</v>
      </c>
      <c r="G254">
        <v>2024</v>
      </c>
    </row>
    <row r="255" spans="1:7" x14ac:dyDescent="0.35">
      <c r="A255" t="s">
        <v>50</v>
      </c>
      <c r="B255" t="s">
        <v>11</v>
      </c>
      <c r="C255">
        <v>9869633</v>
      </c>
      <c r="D255">
        <v>8708702</v>
      </c>
      <c r="E255">
        <v>1160931</v>
      </c>
      <c r="F255" t="s">
        <v>320</v>
      </c>
      <c r="G255">
        <v>2024</v>
      </c>
    </row>
    <row r="256" spans="1:7" x14ac:dyDescent="0.35">
      <c r="A256" t="s">
        <v>13</v>
      </c>
      <c r="B256" t="s">
        <v>11</v>
      </c>
      <c r="C256">
        <v>7684666</v>
      </c>
      <c r="D256">
        <v>5053533</v>
      </c>
      <c r="E256">
        <v>2631133</v>
      </c>
      <c r="F256" t="s">
        <v>321</v>
      </c>
      <c r="G256">
        <v>2025</v>
      </c>
    </row>
    <row r="257" spans="1:7" x14ac:dyDescent="0.35">
      <c r="A257" t="s">
        <v>33</v>
      </c>
      <c r="B257" t="s">
        <v>25</v>
      </c>
      <c r="C257">
        <v>17772619</v>
      </c>
      <c r="D257">
        <v>3751148</v>
      </c>
      <c r="E257">
        <v>14021471</v>
      </c>
      <c r="F257" t="s">
        <v>322</v>
      </c>
      <c r="G257">
        <v>2025</v>
      </c>
    </row>
    <row r="258" spans="1:7" x14ac:dyDescent="0.35">
      <c r="A258" t="s">
        <v>50</v>
      </c>
      <c r="B258" t="s">
        <v>11</v>
      </c>
      <c r="C258">
        <v>9869633</v>
      </c>
      <c r="D258" t="s">
        <v>251</v>
      </c>
      <c r="E258">
        <v>1160931</v>
      </c>
      <c r="F258" t="s">
        <v>323</v>
      </c>
      <c r="G258">
        <v>2025</v>
      </c>
    </row>
    <row r="259" spans="1:7" x14ac:dyDescent="0.35">
      <c r="A259" t="s">
        <v>15</v>
      </c>
      <c r="B259" t="s">
        <v>11</v>
      </c>
      <c r="C259">
        <v>9814492</v>
      </c>
      <c r="D259">
        <v>5074629</v>
      </c>
      <c r="E259">
        <v>4739863</v>
      </c>
      <c r="F259" t="s">
        <v>324</v>
      </c>
      <c r="G259">
        <v>2025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3E5E0-2E75-41A9-B627-1D75C45FDF67}">
  <dimension ref="A1:K259"/>
  <sheetViews>
    <sheetView workbookViewId="0">
      <selection activeCell="F17" sqref="F17"/>
    </sheetView>
  </sheetViews>
  <sheetFormatPr defaultRowHeight="14.5" x14ac:dyDescent="0.35"/>
  <cols>
    <col min="1" max="1" width="11.08984375" bestFit="1" customWidth="1"/>
    <col min="2" max="3" width="11.08984375" customWidth="1"/>
    <col min="4" max="4" width="12" style="8" bestFit="1" customWidth="1"/>
    <col min="5" max="7" width="14.81640625" style="14" customWidth="1"/>
    <col min="8" max="8" width="14.54296875" style="6" customWidth="1"/>
    <col min="9" max="9" width="16.36328125" style="6" customWidth="1"/>
    <col min="10" max="10" width="15.6328125" style="3" customWidth="1"/>
    <col min="11" max="11" width="14.54296875" customWidth="1"/>
  </cols>
  <sheetData>
    <row r="1" spans="1:11" x14ac:dyDescent="0.35">
      <c r="A1" s="2" t="s">
        <v>0</v>
      </c>
      <c r="B1" s="2" t="s">
        <v>326</v>
      </c>
      <c r="C1" s="2" t="s">
        <v>327</v>
      </c>
      <c r="D1" s="7" t="s">
        <v>1</v>
      </c>
      <c r="E1" s="13" t="s">
        <v>2</v>
      </c>
      <c r="F1" s="13" t="s">
        <v>3</v>
      </c>
      <c r="G1" s="13" t="s">
        <v>4</v>
      </c>
      <c r="H1" s="5" t="s">
        <v>328</v>
      </c>
      <c r="I1" s="5" t="s">
        <v>329</v>
      </c>
      <c r="J1" s="4" t="s">
        <v>5</v>
      </c>
      <c r="K1" s="2" t="s">
        <v>6</v>
      </c>
    </row>
    <row r="2" spans="1:11" x14ac:dyDescent="0.35">
      <c r="A2" t="str">
        <f>TEXT(FinancialData[[#This Row],[Date]],"MMMM")</f>
        <v>January</v>
      </c>
      <c r="B2">
        <f>MONTH(FinancialData[[#This Row],[Date]])</f>
        <v>1</v>
      </c>
      <c r="C2" t="str">
        <f>"Q"&amp;ROUNDUP(MONTH(FinancialData[[#This Row],[Date]])/3,0)</f>
        <v>Q1</v>
      </c>
      <c r="D2" s="8" t="s">
        <v>11</v>
      </c>
      <c r="E2" s="14">
        <v>2093322</v>
      </c>
      <c r="F2" s="14">
        <v>846252</v>
      </c>
      <c r="G2" s="14">
        <v>1247070</v>
      </c>
      <c r="H2" s="6">
        <f>IFERROR(FinancialData[[#This Row],[Profit]]/FinancialData[[#This Row],[Revenue]],0)</f>
        <v>0.59573730176246176</v>
      </c>
      <c r="I2" s="6">
        <f>IFERROR(FinancialData[[#This Row],[Expenses]]/FinancialData[[#This Row],[Revenue]],0)</f>
        <v>0.40426269823753824</v>
      </c>
      <c r="J2" s="3">
        <v>45681</v>
      </c>
      <c r="K2">
        <v>2025</v>
      </c>
    </row>
    <row r="3" spans="1:11" x14ac:dyDescent="0.35">
      <c r="A3" t="str">
        <f>TEXT(FinancialData[[#This Row],[Date]],"MMMM")</f>
        <v>January</v>
      </c>
      <c r="B3">
        <f>MONTH(FinancialData[[#This Row],[Date]])</f>
        <v>1</v>
      </c>
      <c r="C3" t="str">
        <f>"Q"&amp;ROUNDUP(MONTH(FinancialData[[#This Row],[Date]])/3,0)</f>
        <v>Q1</v>
      </c>
      <c r="D3" s="8" t="s">
        <v>11</v>
      </c>
      <c r="E3" s="14">
        <v>7713630</v>
      </c>
      <c r="F3" s="14">
        <v>1832250</v>
      </c>
      <c r="G3" s="14">
        <v>5881380</v>
      </c>
      <c r="H3" s="6">
        <f>IFERROR(FinancialData[[#This Row],[Profit]]/FinancialData[[#This Row],[Revenue]],0)</f>
        <v>0.7624659207143718</v>
      </c>
      <c r="I3" s="6">
        <f>IFERROR(FinancialData[[#This Row],[Expenses]]/FinancialData[[#This Row],[Revenue]],0)</f>
        <v>0.23753407928562817</v>
      </c>
      <c r="J3" s="3">
        <v>45663</v>
      </c>
      <c r="K3">
        <v>2025</v>
      </c>
    </row>
    <row r="4" spans="1:11" x14ac:dyDescent="0.35">
      <c r="A4" t="str">
        <f>TEXT(FinancialData[[#This Row],[Date]],"MMMM")</f>
        <v>January</v>
      </c>
      <c r="B4">
        <f>MONTH(FinancialData[[#This Row],[Date]])</f>
        <v>1</v>
      </c>
      <c r="C4" t="str">
        <f>"Q"&amp;ROUNDUP(MONTH(FinancialData[[#This Row],[Date]])/3,0)</f>
        <v>Q1</v>
      </c>
      <c r="D4" s="8" t="s">
        <v>11</v>
      </c>
      <c r="E4" s="14">
        <v>9869633</v>
      </c>
      <c r="F4" s="14">
        <v>8708702</v>
      </c>
      <c r="G4" s="14">
        <v>1160931</v>
      </c>
      <c r="H4" s="6">
        <f>IFERROR(FinancialData[[#This Row],[Profit]]/FinancialData[[#This Row],[Revenue]],0)</f>
        <v>0.11762656220347809</v>
      </c>
      <c r="I4" s="6">
        <f>IFERROR(FinancialData[[#This Row],[Expenses]]/FinancialData[[#This Row],[Revenue]],0)</f>
        <v>0.88237343779652189</v>
      </c>
      <c r="J4" s="3">
        <v>45311</v>
      </c>
      <c r="K4">
        <v>2024</v>
      </c>
    </row>
    <row r="5" spans="1:11" x14ac:dyDescent="0.35">
      <c r="A5" t="str">
        <f>TEXT(FinancialData[[#This Row],[Date]],"MMMM")</f>
        <v>January</v>
      </c>
      <c r="B5">
        <f>MONTH(FinancialData[[#This Row],[Date]])</f>
        <v>1</v>
      </c>
      <c r="C5" t="str">
        <f>"Q"&amp;ROUNDUP(MONTH(FinancialData[[#This Row],[Date]])/3,0)</f>
        <v>Q1</v>
      </c>
      <c r="D5" s="8" t="s">
        <v>11</v>
      </c>
      <c r="E5" s="14">
        <v>7409657</v>
      </c>
      <c r="F5" s="14">
        <v>6271336</v>
      </c>
      <c r="G5" s="14">
        <v>1138321</v>
      </c>
      <c r="H5" s="6">
        <f>IFERROR(FinancialData[[#This Row],[Profit]]/FinancialData[[#This Row],[Revenue]],0)</f>
        <v>0.15362667934561614</v>
      </c>
      <c r="I5" s="6">
        <f>IFERROR(FinancialData[[#This Row],[Expenses]]/FinancialData[[#This Row],[Revenue]],0)</f>
        <v>0.84637332065438386</v>
      </c>
      <c r="K5">
        <v>2024</v>
      </c>
    </row>
    <row r="6" spans="1:11" x14ac:dyDescent="0.35">
      <c r="A6" t="str">
        <f>TEXT(FinancialData[[#This Row],[Date]],"MMMM")</f>
        <v>January</v>
      </c>
      <c r="B6">
        <f>MONTH(FinancialData[[#This Row],[Date]])</f>
        <v>1</v>
      </c>
      <c r="C6" t="str">
        <f>"Q"&amp;ROUNDUP(MONTH(FinancialData[[#This Row],[Date]])/3,0)</f>
        <v>Q1</v>
      </c>
      <c r="D6" s="8" t="s">
        <v>11</v>
      </c>
      <c r="E6" s="14">
        <v>10932582</v>
      </c>
      <c r="F6" s="14">
        <v>9516586</v>
      </c>
      <c r="G6" s="14">
        <v>1415996</v>
      </c>
      <c r="H6" s="6">
        <f>IFERROR(FinancialData[[#This Row],[Profit]]/FinancialData[[#This Row],[Revenue]],0)</f>
        <v>0.12952072986966848</v>
      </c>
      <c r="I6" s="6">
        <f>IFERROR(FinancialData[[#This Row],[Expenses]]/FinancialData[[#This Row],[Revenue]],0)</f>
        <v>0.87047927013033155</v>
      </c>
      <c r="J6" s="3">
        <v>45682</v>
      </c>
      <c r="K6">
        <v>2025</v>
      </c>
    </row>
    <row r="7" spans="1:11" x14ac:dyDescent="0.35">
      <c r="A7" t="str">
        <f>TEXT(FinancialData[[#This Row],[Date]],"MMMM")</f>
        <v>January</v>
      </c>
      <c r="B7">
        <f>MONTH(FinancialData[[#This Row],[Date]])</f>
        <v>1</v>
      </c>
      <c r="C7" t="str">
        <f>"Q"&amp;ROUNDUP(MONTH(FinancialData[[#This Row],[Date]])/3,0)</f>
        <v>Q1</v>
      </c>
      <c r="D7" s="8" t="s">
        <v>11</v>
      </c>
      <c r="E7" s="14">
        <v>6641746</v>
      </c>
      <c r="F7" s="14">
        <v>2466037</v>
      </c>
      <c r="G7" s="14">
        <v>4175709</v>
      </c>
      <c r="H7" s="6">
        <f>IFERROR(FinancialData[[#This Row],[Profit]]/FinancialData[[#This Row],[Revenue]],0)</f>
        <v>0.62870651783431641</v>
      </c>
      <c r="I7" s="6">
        <f>IFERROR(FinancialData[[#This Row],[Expenses]]/FinancialData[[#This Row],[Revenue]],0)</f>
        <v>0.37129348216568353</v>
      </c>
      <c r="J7" s="3">
        <v>45680</v>
      </c>
      <c r="K7">
        <v>2025</v>
      </c>
    </row>
    <row r="8" spans="1:11" x14ac:dyDescent="0.35">
      <c r="A8" t="str">
        <f>TEXT(FinancialData[[#This Row],[Date]],"MMMM")</f>
        <v>January</v>
      </c>
      <c r="B8">
        <f>MONTH(FinancialData[[#This Row],[Date]])</f>
        <v>1</v>
      </c>
      <c r="C8" t="str">
        <f>"Q"&amp;ROUNDUP(MONTH(FinancialData[[#This Row],[Date]])/3,0)</f>
        <v>Q1</v>
      </c>
      <c r="D8" s="8" t="s">
        <v>325</v>
      </c>
      <c r="E8" s="14">
        <v>9406634</v>
      </c>
      <c r="F8" s="14">
        <v>1310092</v>
      </c>
      <c r="G8" s="14">
        <v>8096542</v>
      </c>
      <c r="H8" s="6">
        <f>IFERROR(FinancialData[[#This Row],[Profit]]/FinancialData[[#This Row],[Revenue]],0)</f>
        <v>0.8607268019570018</v>
      </c>
      <c r="I8" s="6">
        <f>IFERROR(FinancialData[[#This Row],[Expenses]]/FinancialData[[#This Row],[Revenue]],0)</f>
        <v>0.13927319804299818</v>
      </c>
      <c r="K8">
        <v>2024</v>
      </c>
    </row>
    <row r="9" spans="1:11" x14ac:dyDescent="0.35">
      <c r="A9" t="str">
        <f>TEXT(FinancialData[[#This Row],[Date]],"MMMM")</f>
        <v>January</v>
      </c>
      <c r="B9">
        <f>MONTH(FinancialData[[#This Row],[Date]])</f>
        <v>1</v>
      </c>
      <c r="C9" t="str">
        <f>"Q"&amp;ROUNDUP(MONTH(FinancialData[[#This Row],[Date]])/3,0)</f>
        <v>Q1</v>
      </c>
      <c r="D9" s="8" t="s">
        <v>325</v>
      </c>
      <c r="E9" s="14">
        <v>9406634</v>
      </c>
      <c r="F9" s="14">
        <v>1310092</v>
      </c>
      <c r="G9" s="14">
        <v>8096542</v>
      </c>
      <c r="H9" s="6">
        <f>IFERROR(FinancialData[[#This Row],[Profit]]/FinancialData[[#This Row],[Revenue]],0)</f>
        <v>0.8607268019570018</v>
      </c>
      <c r="I9" s="6">
        <f>IFERROR(FinancialData[[#This Row],[Expenses]]/FinancialData[[#This Row],[Revenue]],0)</f>
        <v>0.13927319804299818</v>
      </c>
      <c r="K9">
        <v>2025</v>
      </c>
    </row>
    <row r="10" spans="1:11" x14ac:dyDescent="0.35">
      <c r="A10" t="str">
        <f>TEXT(FinancialData[[#This Row],[Date]],"MMMM")</f>
        <v>January</v>
      </c>
      <c r="B10">
        <f>MONTH(FinancialData[[#This Row],[Date]])</f>
        <v>1</v>
      </c>
      <c r="C10" t="str">
        <f>"Q"&amp;ROUNDUP(MONTH(FinancialData[[#This Row],[Date]])/3,0)</f>
        <v>Q1</v>
      </c>
      <c r="D10" s="8" t="s">
        <v>11</v>
      </c>
      <c r="E10" s="14">
        <v>7713630</v>
      </c>
      <c r="F10" s="14">
        <v>1832250</v>
      </c>
      <c r="G10" s="14">
        <v>5881380</v>
      </c>
      <c r="H10" s="6">
        <f>IFERROR(FinancialData[[#This Row],[Profit]]/FinancialData[[#This Row],[Revenue]],0)</f>
        <v>0.7624659207143718</v>
      </c>
      <c r="I10" s="6">
        <f>IFERROR(FinancialData[[#This Row],[Expenses]]/FinancialData[[#This Row],[Revenue]],0)</f>
        <v>0.23753407928562817</v>
      </c>
      <c r="J10" s="3">
        <v>45681</v>
      </c>
      <c r="K10">
        <v>2025</v>
      </c>
    </row>
    <row r="11" spans="1:11" x14ac:dyDescent="0.35">
      <c r="A11" t="str">
        <f>TEXT(FinancialData[[#This Row],[Date]],"MMMM")</f>
        <v>January</v>
      </c>
      <c r="B11">
        <f>MONTH(FinancialData[[#This Row],[Date]])</f>
        <v>1</v>
      </c>
      <c r="C11" t="str">
        <f>"Q"&amp;ROUNDUP(MONTH(FinancialData[[#This Row],[Date]])/3,0)</f>
        <v>Q1</v>
      </c>
      <c r="D11" s="8" t="s">
        <v>325</v>
      </c>
      <c r="E11" s="14">
        <v>12433378</v>
      </c>
      <c r="F11" s="14">
        <v>3398230</v>
      </c>
      <c r="G11" s="14">
        <v>9035148</v>
      </c>
      <c r="H11" s="6">
        <f>IFERROR(FinancialData[[#This Row],[Profit]]/FinancialData[[#This Row],[Revenue]],0)</f>
        <v>0.72668489609179421</v>
      </c>
      <c r="I11" s="6">
        <f>IFERROR(FinancialData[[#This Row],[Expenses]]/FinancialData[[#This Row],[Revenue]],0)</f>
        <v>0.27331510390820579</v>
      </c>
      <c r="J11" s="3">
        <v>45313</v>
      </c>
      <c r="K11">
        <v>2024</v>
      </c>
    </row>
    <row r="12" spans="1:11" x14ac:dyDescent="0.35">
      <c r="A12" t="str">
        <f>TEXT(FinancialData[[#This Row],[Date]],"MMMM")</f>
        <v>January</v>
      </c>
      <c r="B12">
        <f>MONTH(FinancialData[[#This Row],[Date]])</f>
        <v>1</v>
      </c>
      <c r="C12" t="str">
        <f>"Q"&amp;ROUNDUP(MONTH(FinancialData[[#This Row],[Date]])/3,0)</f>
        <v>Q1</v>
      </c>
      <c r="D12" s="8" t="s">
        <v>325</v>
      </c>
      <c r="E12" s="14">
        <v>13395142</v>
      </c>
      <c r="F12" s="14">
        <v>3866714</v>
      </c>
      <c r="G12" s="14">
        <v>9528428</v>
      </c>
      <c r="H12" s="6">
        <f>IFERROR(FinancialData[[#This Row],[Profit]]/FinancialData[[#This Row],[Revenue]],0)</f>
        <v>0.71133460175338192</v>
      </c>
      <c r="I12" s="6">
        <f>IFERROR(FinancialData[[#This Row],[Expenses]]/FinancialData[[#This Row],[Revenue]],0)</f>
        <v>0.28866539824661808</v>
      </c>
      <c r="J12" s="3">
        <v>45302</v>
      </c>
      <c r="K12">
        <v>2024</v>
      </c>
    </row>
    <row r="13" spans="1:11" x14ac:dyDescent="0.35">
      <c r="A13" t="str">
        <f>TEXT(FinancialData[[#This Row],[Date]],"MMMM")</f>
        <v>January</v>
      </c>
      <c r="B13">
        <f>MONTH(FinancialData[[#This Row],[Date]])</f>
        <v>1</v>
      </c>
      <c r="C13" t="str">
        <f>"Q"&amp;ROUNDUP(MONTH(FinancialData[[#This Row],[Date]])/3,0)</f>
        <v>Q1</v>
      </c>
      <c r="D13" s="8" t="s">
        <v>325</v>
      </c>
      <c r="E13" s="14">
        <v>9406634</v>
      </c>
      <c r="F13" s="14">
        <v>1310092</v>
      </c>
      <c r="G13" s="14">
        <v>8096542</v>
      </c>
      <c r="H13" s="6">
        <f>IFERROR(FinancialData[[#This Row],[Profit]]/FinancialData[[#This Row],[Revenue]],0)</f>
        <v>0.8607268019570018</v>
      </c>
      <c r="I13" s="6">
        <f>IFERROR(FinancialData[[#This Row],[Expenses]]/FinancialData[[#This Row],[Revenue]],0)</f>
        <v>0.13927319804299818</v>
      </c>
      <c r="J13" s="3">
        <v>45679</v>
      </c>
      <c r="K13">
        <v>2025</v>
      </c>
    </row>
    <row r="14" spans="1:11" x14ac:dyDescent="0.35">
      <c r="A14" t="str">
        <f>TEXT(FinancialData[[#This Row],[Date]],"MMMM")</f>
        <v>January</v>
      </c>
      <c r="B14">
        <f>MONTH(FinancialData[[#This Row],[Date]])</f>
        <v>1</v>
      </c>
      <c r="C14" t="str">
        <f>"Q"&amp;ROUNDUP(MONTH(FinancialData[[#This Row],[Date]])/3,0)</f>
        <v>Q1</v>
      </c>
      <c r="D14" s="8" t="s">
        <v>325</v>
      </c>
      <c r="E14" s="14">
        <v>13395811</v>
      </c>
      <c r="F14" s="14">
        <v>8109917</v>
      </c>
      <c r="G14" s="14">
        <v>5285894</v>
      </c>
      <c r="H14" s="6">
        <f>IFERROR(FinancialData[[#This Row],[Profit]]/FinancialData[[#This Row],[Revenue]],0)</f>
        <v>0.39459305599339972</v>
      </c>
      <c r="I14" s="6">
        <f>IFERROR(FinancialData[[#This Row],[Expenses]]/FinancialData[[#This Row],[Revenue]],0)</f>
        <v>0.60540694400660022</v>
      </c>
      <c r="J14" s="3">
        <v>45317</v>
      </c>
      <c r="K14">
        <v>2024</v>
      </c>
    </row>
    <row r="15" spans="1:11" x14ac:dyDescent="0.35">
      <c r="A15" t="str">
        <f>TEXT(FinancialData[[#This Row],[Date]],"MMMM")</f>
        <v>January</v>
      </c>
      <c r="B15">
        <f>MONTH(FinancialData[[#This Row],[Date]])</f>
        <v>1</v>
      </c>
      <c r="C15" t="str">
        <f>"Q"&amp;ROUNDUP(MONTH(FinancialData[[#This Row],[Date]])/3,0)</f>
        <v>Q1</v>
      </c>
      <c r="D15" s="8" t="s">
        <v>325</v>
      </c>
      <c r="E15" s="14">
        <v>17772619</v>
      </c>
      <c r="F15" s="14">
        <v>3751148</v>
      </c>
      <c r="G15" s="14">
        <v>14021471</v>
      </c>
      <c r="H15" s="6">
        <f>IFERROR(FinancialData[[#This Row],[Profit]]/FinancialData[[#This Row],[Revenue]],0)</f>
        <v>0.78893667838150361</v>
      </c>
      <c r="I15" s="6">
        <f>IFERROR(FinancialData[[#This Row],[Expenses]]/FinancialData[[#This Row],[Revenue]],0)</f>
        <v>0.21106332161849642</v>
      </c>
      <c r="J15" s="3">
        <v>45292</v>
      </c>
      <c r="K15">
        <v>2024</v>
      </c>
    </row>
    <row r="16" spans="1:11" x14ac:dyDescent="0.35">
      <c r="A16" t="str">
        <f>TEXT(FinancialData[[#This Row],[Date]],"MMMM")</f>
        <v>January</v>
      </c>
      <c r="B16">
        <f>MONTH(FinancialData[[#This Row],[Date]])</f>
        <v>1</v>
      </c>
      <c r="C16" t="str">
        <f>"Q"&amp;ROUNDUP(MONTH(FinancialData[[#This Row],[Date]])/3,0)</f>
        <v>Q1</v>
      </c>
      <c r="D16" s="8" t="s">
        <v>325</v>
      </c>
      <c r="E16" s="14">
        <v>6659621</v>
      </c>
      <c r="F16" s="14">
        <v>5718412</v>
      </c>
      <c r="G16" s="14">
        <v>941209</v>
      </c>
      <c r="H16" s="6">
        <f>IFERROR(FinancialData[[#This Row],[Profit]]/FinancialData[[#This Row],[Revenue]],0)</f>
        <v>0.14133071536653513</v>
      </c>
      <c r="I16" s="6">
        <f>IFERROR(FinancialData[[#This Row],[Expenses]]/FinancialData[[#This Row],[Revenue]],0)</f>
        <v>0.85866928463346492</v>
      </c>
      <c r="K16">
        <v>2024</v>
      </c>
    </row>
    <row r="17" spans="1:11" x14ac:dyDescent="0.35">
      <c r="A17" t="str">
        <f>TEXT(FinancialData[[#This Row],[Date]],"MMMM")</f>
        <v>January</v>
      </c>
      <c r="B17">
        <f>MONTH(FinancialData[[#This Row],[Date]])</f>
        <v>1</v>
      </c>
      <c r="C17" t="str">
        <f>"Q"&amp;ROUNDUP(MONTH(FinancialData[[#This Row],[Date]])/3,0)</f>
        <v>Q1</v>
      </c>
      <c r="D17" s="8" t="s">
        <v>325</v>
      </c>
      <c r="E17" s="14">
        <v>9406634</v>
      </c>
      <c r="F17" s="14">
        <v>1310092</v>
      </c>
      <c r="G17" s="14">
        <v>8096542</v>
      </c>
      <c r="H17" s="6">
        <f>IFERROR(FinancialData[[#This Row],[Profit]]/FinancialData[[#This Row],[Revenue]],0)</f>
        <v>0.8607268019570018</v>
      </c>
      <c r="I17" s="6">
        <f>IFERROR(FinancialData[[#This Row],[Expenses]]/FinancialData[[#This Row],[Revenue]],0)</f>
        <v>0.13927319804299818</v>
      </c>
      <c r="J17" s="3">
        <v>45671</v>
      </c>
      <c r="K17">
        <v>2025</v>
      </c>
    </row>
    <row r="18" spans="1:11" x14ac:dyDescent="0.35">
      <c r="A18" t="str">
        <f>TEXT(FinancialData[[#This Row],[Date]],"MMMM")</f>
        <v>January</v>
      </c>
      <c r="B18">
        <f>MONTH(FinancialData[[#This Row],[Date]])</f>
        <v>1</v>
      </c>
      <c r="C18" t="str">
        <f>"Q"&amp;ROUNDUP(MONTH(FinancialData[[#This Row],[Date]])/3,0)</f>
        <v>Q1</v>
      </c>
      <c r="D18" s="8" t="s">
        <v>325</v>
      </c>
      <c r="E18" s="14">
        <v>9166769</v>
      </c>
      <c r="F18" s="14">
        <v>7049977</v>
      </c>
      <c r="G18" s="14">
        <v>2116792</v>
      </c>
      <c r="H18" s="6">
        <f>IFERROR(FinancialData[[#This Row],[Profit]]/FinancialData[[#This Row],[Revenue]],0)</f>
        <v>0.23092018572738116</v>
      </c>
      <c r="I18" s="6">
        <f>IFERROR(FinancialData[[#This Row],[Expenses]]/FinancialData[[#This Row],[Revenue]],0)</f>
        <v>0.76907981427261884</v>
      </c>
      <c r="J18" s="3">
        <v>45303</v>
      </c>
      <c r="K18">
        <v>2024</v>
      </c>
    </row>
    <row r="19" spans="1:11" x14ac:dyDescent="0.35">
      <c r="A19" t="str">
        <f>TEXT(FinancialData[[#This Row],[Date]],"MMMM")</f>
        <v>January</v>
      </c>
      <c r="B19">
        <f>MONTH(FinancialData[[#This Row],[Date]])</f>
        <v>1</v>
      </c>
      <c r="C19" t="str">
        <f>"Q"&amp;ROUNDUP(MONTH(FinancialData[[#This Row],[Date]])/3,0)</f>
        <v>Q1</v>
      </c>
      <c r="D19" s="8" t="s">
        <v>325</v>
      </c>
      <c r="E19" s="14">
        <v>10655734</v>
      </c>
      <c r="F19" s="14">
        <v>2408508</v>
      </c>
      <c r="G19" s="14">
        <v>8247226</v>
      </c>
      <c r="H19" s="6">
        <f>IFERROR(FinancialData[[#This Row],[Profit]]/FinancialData[[#This Row],[Revenue]],0)</f>
        <v>0.77397070910366195</v>
      </c>
      <c r="I19" s="6">
        <f>IFERROR(FinancialData[[#This Row],[Expenses]]/FinancialData[[#This Row],[Revenue]],0)</f>
        <v>0.22602929089633805</v>
      </c>
      <c r="J19" s="3">
        <v>45674</v>
      </c>
      <c r="K19">
        <v>2025</v>
      </c>
    </row>
    <row r="20" spans="1:11" x14ac:dyDescent="0.35">
      <c r="A20" t="str">
        <f>TEXT(FinancialData[[#This Row],[Date]],"MMMM")</f>
        <v>January</v>
      </c>
      <c r="B20">
        <f>MONTH(FinancialData[[#This Row],[Date]])</f>
        <v>1</v>
      </c>
      <c r="C20" t="str">
        <f>"Q"&amp;ROUNDUP(MONTH(FinancialData[[#This Row],[Date]])/3,0)</f>
        <v>Q1</v>
      </c>
      <c r="D20" s="8" t="s">
        <v>11</v>
      </c>
      <c r="E20" s="14">
        <v>6641746</v>
      </c>
      <c r="F20" s="14">
        <v>2466037</v>
      </c>
      <c r="G20" s="14">
        <v>4175709</v>
      </c>
      <c r="H20" s="6">
        <f>IFERROR(FinancialData[[#This Row],[Profit]]/FinancialData[[#This Row],[Revenue]],0)</f>
        <v>0.62870651783431641</v>
      </c>
      <c r="I20" s="6">
        <f>IFERROR(FinancialData[[#This Row],[Expenses]]/FinancialData[[#This Row],[Revenue]],0)</f>
        <v>0.37129348216568353</v>
      </c>
      <c r="J20" s="3">
        <v>45319</v>
      </c>
      <c r="K20">
        <v>2024</v>
      </c>
    </row>
    <row r="21" spans="1:11" x14ac:dyDescent="0.35">
      <c r="A21" t="str">
        <f>TEXT(FinancialData[[#This Row],[Date]],"MMMM")</f>
        <v>January</v>
      </c>
      <c r="B21">
        <f>MONTH(FinancialData[[#This Row],[Date]])</f>
        <v>1</v>
      </c>
      <c r="C21" t="str">
        <f>"Q"&amp;ROUNDUP(MONTH(FinancialData[[#This Row],[Date]])/3,0)</f>
        <v>Q1</v>
      </c>
      <c r="D21" s="8" t="s">
        <v>11</v>
      </c>
      <c r="E21" s="14">
        <v>7684666</v>
      </c>
      <c r="F21" s="14">
        <v>5053533</v>
      </c>
      <c r="G21" s="14">
        <v>2631133</v>
      </c>
      <c r="H21" s="6">
        <f>IFERROR(FinancialData[[#This Row],[Profit]]/FinancialData[[#This Row],[Revenue]],0)</f>
        <v>0.34238742451526194</v>
      </c>
      <c r="I21" s="6">
        <f>IFERROR(FinancialData[[#This Row],[Expenses]]/FinancialData[[#This Row],[Revenue]],0)</f>
        <v>0.65761257548473806</v>
      </c>
      <c r="J21" s="3">
        <v>45322</v>
      </c>
      <c r="K21">
        <v>2024</v>
      </c>
    </row>
    <row r="22" spans="1:11" x14ac:dyDescent="0.35">
      <c r="A22" t="str">
        <f>TEXT(FinancialData[[#This Row],[Date]],"MMMM")</f>
        <v>January</v>
      </c>
      <c r="B22">
        <f>MONTH(FinancialData[[#This Row],[Date]])</f>
        <v>1</v>
      </c>
      <c r="C22" t="str">
        <f>"Q"&amp;ROUNDUP(MONTH(FinancialData[[#This Row],[Date]])/3,0)</f>
        <v>Q1</v>
      </c>
      <c r="D22" s="8" t="s">
        <v>11</v>
      </c>
      <c r="E22" s="14">
        <v>2093322</v>
      </c>
      <c r="F22" s="14">
        <v>846252</v>
      </c>
      <c r="G22" s="14">
        <v>1247070</v>
      </c>
      <c r="H22" s="6">
        <f>IFERROR(FinancialData[[#This Row],[Profit]]/FinancialData[[#This Row],[Revenue]],0)</f>
        <v>0.59573730176246176</v>
      </c>
      <c r="I22" s="6">
        <f>IFERROR(FinancialData[[#This Row],[Expenses]]/FinancialData[[#This Row],[Revenue]],0)</f>
        <v>0.40426269823753824</v>
      </c>
      <c r="J22" s="3">
        <v>45686</v>
      </c>
      <c r="K22">
        <v>2025</v>
      </c>
    </row>
    <row r="23" spans="1:11" x14ac:dyDescent="0.35">
      <c r="A23" t="str">
        <f>TEXT(FinancialData[[#This Row],[Date]],"MMMM")</f>
        <v>January</v>
      </c>
      <c r="B23">
        <f>MONTH(FinancialData[[#This Row],[Date]])</f>
        <v>1</v>
      </c>
      <c r="C23" t="str">
        <f>"Q"&amp;ROUNDUP(MONTH(FinancialData[[#This Row],[Date]])/3,0)</f>
        <v>Q1</v>
      </c>
      <c r="D23" s="8" t="s">
        <v>11</v>
      </c>
      <c r="E23" s="14">
        <v>7684666</v>
      </c>
      <c r="F23" s="14">
        <v>5053533</v>
      </c>
      <c r="G23" s="14">
        <v>2631133</v>
      </c>
      <c r="H23" s="6">
        <f>IFERROR(FinancialData[[#This Row],[Profit]]/FinancialData[[#This Row],[Revenue]],0)</f>
        <v>0.34238742451526194</v>
      </c>
      <c r="I23" s="6">
        <f>IFERROR(FinancialData[[#This Row],[Expenses]]/FinancialData[[#This Row],[Revenue]],0)</f>
        <v>0.65761257548473806</v>
      </c>
      <c r="J23" s="3">
        <v>45299</v>
      </c>
      <c r="K23">
        <v>2024</v>
      </c>
    </row>
    <row r="24" spans="1:11" x14ac:dyDescent="0.35">
      <c r="A24" t="str">
        <f>TEXT(FinancialData[[#This Row],[Date]],"MMMM")</f>
        <v>January</v>
      </c>
      <c r="B24">
        <f>MONTH(FinancialData[[#This Row],[Date]])</f>
        <v>1</v>
      </c>
      <c r="C24" t="str">
        <f>"Q"&amp;ROUNDUP(MONTH(FinancialData[[#This Row],[Date]])/3,0)</f>
        <v>Q1</v>
      </c>
      <c r="D24" s="8" t="s">
        <v>11</v>
      </c>
      <c r="E24" s="14">
        <v>10932582</v>
      </c>
      <c r="F24" s="14">
        <v>9516586</v>
      </c>
      <c r="G24" s="14">
        <v>1415996</v>
      </c>
      <c r="H24" s="6">
        <f>IFERROR(FinancialData[[#This Row],[Profit]]/FinancialData[[#This Row],[Revenue]],0)</f>
        <v>0.12952072986966848</v>
      </c>
      <c r="I24" s="6">
        <f>IFERROR(FinancialData[[#This Row],[Expenses]]/FinancialData[[#This Row],[Revenue]],0)</f>
        <v>0.87047927013033155</v>
      </c>
      <c r="J24" s="3">
        <v>45674</v>
      </c>
      <c r="K24">
        <v>2025</v>
      </c>
    </row>
    <row r="25" spans="1:11" x14ac:dyDescent="0.35">
      <c r="A25" t="str">
        <f>TEXT(FinancialData[[#This Row],[Date]],"MMMM")</f>
        <v>January</v>
      </c>
      <c r="B25">
        <f>MONTH(FinancialData[[#This Row],[Date]])</f>
        <v>1</v>
      </c>
      <c r="C25" t="str">
        <f>"Q"&amp;ROUNDUP(MONTH(FinancialData[[#This Row],[Date]])/3,0)</f>
        <v>Q1</v>
      </c>
      <c r="D25" s="8" t="s">
        <v>11</v>
      </c>
      <c r="E25" s="14">
        <v>7713630</v>
      </c>
      <c r="F25" s="14">
        <v>1832250</v>
      </c>
      <c r="G25" s="14">
        <v>5881380</v>
      </c>
      <c r="H25" s="6">
        <f>IFERROR(FinancialData[[#This Row],[Profit]]/FinancialData[[#This Row],[Revenue]],0)</f>
        <v>0.7624659207143718</v>
      </c>
      <c r="I25" s="6">
        <f>IFERROR(FinancialData[[#This Row],[Expenses]]/FinancialData[[#This Row],[Revenue]],0)</f>
        <v>0.23753407928562817</v>
      </c>
      <c r="J25" s="3">
        <v>45295</v>
      </c>
      <c r="K25">
        <v>2024</v>
      </c>
    </row>
    <row r="26" spans="1:11" x14ac:dyDescent="0.35">
      <c r="A26" t="str">
        <f>TEXT(FinancialData[[#This Row],[Date]],"MMMM")</f>
        <v>January</v>
      </c>
      <c r="B26">
        <f>MONTH(FinancialData[[#This Row],[Date]])</f>
        <v>1</v>
      </c>
      <c r="C26" t="str">
        <f>"Q"&amp;ROUNDUP(MONTH(FinancialData[[#This Row],[Date]])/3,0)</f>
        <v>Q1</v>
      </c>
      <c r="D26" s="8" t="s">
        <v>11</v>
      </c>
      <c r="E26" s="14">
        <v>6641746</v>
      </c>
      <c r="F26" s="14">
        <v>2466037</v>
      </c>
      <c r="G26" s="14">
        <v>4175709</v>
      </c>
      <c r="H26" s="6">
        <f>IFERROR(FinancialData[[#This Row],[Profit]]/FinancialData[[#This Row],[Revenue]],0)</f>
        <v>0.62870651783431641</v>
      </c>
      <c r="I26" s="6">
        <f>IFERROR(FinancialData[[#This Row],[Expenses]]/FinancialData[[#This Row],[Revenue]],0)</f>
        <v>0.37129348216568353</v>
      </c>
      <c r="J26" s="3">
        <v>45659</v>
      </c>
      <c r="K26">
        <v>2025</v>
      </c>
    </row>
    <row r="27" spans="1:11" x14ac:dyDescent="0.35">
      <c r="A27" t="str">
        <f>TEXT(FinancialData[[#This Row],[Date]],"MMMM")</f>
        <v>February</v>
      </c>
      <c r="B27">
        <f>MONTH(FinancialData[[#This Row],[Date]])</f>
        <v>2</v>
      </c>
      <c r="C27" t="str">
        <f>"Q"&amp;ROUNDUP(MONTH(FinancialData[[#This Row],[Date]])/3,0)</f>
        <v>Q1</v>
      </c>
      <c r="D27" s="8" t="s">
        <v>325</v>
      </c>
      <c r="E27" s="14">
        <v>9406634</v>
      </c>
      <c r="F27" s="14">
        <v>1310092</v>
      </c>
      <c r="G27" s="14">
        <v>8096542</v>
      </c>
      <c r="H27" s="6">
        <f>IFERROR(FinancialData[[#This Row],[Profit]]/FinancialData[[#This Row],[Revenue]],0)</f>
        <v>0.8607268019570018</v>
      </c>
      <c r="I27" s="6">
        <f>IFERROR(FinancialData[[#This Row],[Expenses]]/FinancialData[[#This Row],[Revenue]],0)</f>
        <v>0.13927319804299818</v>
      </c>
      <c r="J27" s="3">
        <v>45349</v>
      </c>
      <c r="K27">
        <v>2024</v>
      </c>
    </row>
    <row r="28" spans="1:11" x14ac:dyDescent="0.35">
      <c r="A28" t="str">
        <f>TEXT(FinancialData[[#This Row],[Date]],"MMMM")</f>
        <v>February</v>
      </c>
      <c r="B28">
        <f>MONTH(FinancialData[[#This Row],[Date]])</f>
        <v>2</v>
      </c>
      <c r="C28" t="str">
        <f>"Q"&amp;ROUNDUP(MONTH(FinancialData[[#This Row],[Date]])/3,0)</f>
        <v>Q1</v>
      </c>
      <c r="D28" s="8" t="s">
        <v>325</v>
      </c>
      <c r="E28" s="14">
        <v>6659621</v>
      </c>
      <c r="F28" s="14">
        <v>5718412</v>
      </c>
      <c r="G28" s="14">
        <v>941209</v>
      </c>
      <c r="H28" s="6">
        <f>IFERROR(FinancialData[[#This Row],[Profit]]/FinancialData[[#This Row],[Revenue]],0)</f>
        <v>0.14133071536653513</v>
      </c>
      <c r="I28" s="6">
        <f>IFERROR(FinancialData[[#This Row],[Expenses]]/FinancialData[[#This Row],[Revenue]],0)</f>
        <v>0.85866928463346492</v>
      </c>
      <c r="J28" s="3">
        <v>45324</v>
      </c>
      <c r="K28">
        <v>2024</v>
      </c>
    </row>
    <row r="29" spans="1:11" x14ac:dyDescent="0.35">
      <c r="A29" t="str">
        <f>TEXT(FinancialData[[#This Row],[Date]],"MMMM")</f>
        <v>February</v>
      </c>
      <c r="B29">
        <f>MONTH(FinancialData[[#This Row],[Date]])</f>
        <v>2</v>
      </c>
      <c r="C29" t="str">
        <f>"Q"&amp;ROUNDUP(MONTH(FinancialData[[#This Row],[Date]])/3,0)</f>
        <v>Q1</v>
      </c>
      <c r="D29" s="8" t="s">
        <v>11</v>
      </c>
      <c r="E29" s="14">
        <v>6641746</v>
      </c>
      <c r="F29" s="14">
        <v>2466037</v>
      </c>
      <c r="G29" s="14">
        <v>4175709</v>
      </c>
      <c r="H29" s="6">
        <f>IFERROR(FinancialData[[#This Row],[Profit]]/FinancialData[[#This Row],[Revenue]],0)</f>
        <v>0.62870651783431641</v>
      </c>
      <c r="I29" s="6">
        <f>IFERROR(FinancialData[[#This Row],[Expenses]]/FinancialData[[#This Row],[Revenue]],0)</f>
        <v>0.37129348216568353</v>
      </c>
      <c r="J29" s="3">
        <v>45697</v>
      </c>
      <c r="K29">
        <v>2025</v>
      </c>
    </row>
    <row r="30" spans="1:11" x14ac:dyDescent="0.35">
      <c r="A30" t="str">
        <f>TEXT(FinancialData[[#This Row],[Date]],"MMMM")</f>
        <v>February</v>
      </c>
      <c r="B30">
        <f>MONTH(FinancialData[[#This Row],[Date]])</f>
        <v>2</v>
      </c>
      <c r="C30" t="str">
        <f>"Q"&amp;ROUNDUP(MONTH(FinancialData[[#This Row],[Date]])/3,0)</f>
        <v>Q1</v>
      </c>
      <c r="D30" s="8" t="s">
        <v>325</v>
      </c>
      <c r="E30" s="14">
        <v>12433378</v>
      </c>
      <c r="F30" s="14">
        <v>3398230</v>
      </c>
      <c r="G30" s="14">
        <v>9035148</v>
      </c>
      <c r="H30" s="6">
        <f>IFERROR(FinancialData[[#This Row],[Profit]]/FinancialData[[#This Row],[Revenue]],0)</f>
        <v>0.72668489609179421</v>
      </c>
      <c r="I30" s="6">
        <f>IFERROR(FinancialData[[#This Row],[Expenses]]/FinancialData[[#This Row],[Revenue]],0)</f>
        <v>0.27331510390820579</v>
      </c>
      <c r="J30" s="3">
        <v>45702</v>
      </c>
      <c r="K30">
        <v>2025</v>
      </c>
    </row>
    <row r="31" spans="1:11" x14ac:dyDescent="0.35">
      <c r="A31" t="str">
        <f>TEXT(FinancialData[[#This Row],[Date]],"MMMM")</f>
        <v>February</v>
      </c>
      <c r="B31">
        <f>MONTH(FinancialData[[#This Row],[Date]])</f>
        <v>2</v>
      </c>
      <c r="C31" t="str">
        <f>"Q"&amp;ROUNDUP(MONTH(FinancialData[[#This Row],[Date]])/3,0)</f>
        <v>Q1</v>
      </c>
      <c r="D31" s="8" t="s">
        <v>325</v>
      </c>
      <c r="E31" s="14">
        <v>17872796</v>
      </c>
      <c r="F31" s="14">
        <v>4065021</v>
      </c>
      <c r="G31" s="14">
        <v>13807775</v>
      </c>
      <c r="H31" s="6">
        <f>IFERROR(FinancialData[[#This Row],[Profit]]/FinancialData[[#This Row],[Revenue]],0)</f>
        <v>0.77255819402851122</v>
      </c>
      <c r="I31" s="6">
        <f>IFERROR(FinancialData[[#This Row],[Expenses]]/FinancialData[[#This Row],[Revenue]],0)</f>
        <v>0.22744180597148875</v>
      </c>
      <c r="J31" s="3">
        <v>45336</v>
      </c>
      <c r="K31">
        <v>2024</v>
      </c>
    </row>
    <row r="32" spans="1:11" x14ac:dyDescent="0.35">
      <c r="A32" t="str">
        <f>TEXT(FinancialData[[#This Row],[Date]],"MMMM")</f>
        <v>February</v>
      </c>
      <c r="B32">
        <f>MONTH(FinancialData[[#This Row],[Date]])</f>
        <v>2</v>
      </c>
      <c r="C32" t="str">
        <f>"Q"&amp;ROUNDUP(MONTH(FinancialData[[#This Row],[Date]])/3,0)</f>
        <v>Q1</v>
      </c>
      <c r="D32" s="8" t="s">
        <v>11</v>
      </c>
      <c r="E32" s="14">
        <v>6641746</v>
      </c>
      <c r="F32" s="14">
        <v>2466037</v>
      </c>
      <c r="G32" s="14">
        <v>4175709</v>
      </c>
      <c r="H32" s="6">
        <f>IFERROR(FinancialData[[#This Row],[Profit]]/FinancialData[[#This Row],[Revenue]],0)</f>
        <v>0.62870651783431641</v>
      </c>
      <c r="I32" s="6">
        <f>IFERROR(FinancialData[[#This Row],[Expenses]]/FinancialData[[#This Row],[Revenue]],0)</f>
        <v>0.37129348216568353</v>
      </c>
      <c r="J32" s="3">
        <v>45700</v>
      </c>
      <c r="K32">
        <v>2025</v>
      </c>
    </row>
    <row r="33" spans="1:11" x14ac:dyDescent="0.35">
      <c r="A33" t="str">
        <f>TEXT(FinancialData[[#This Row],[Date]],"MMMM")</f>
        <v>February</v>
      </c>
      <c r="B33">
        <f>MONTH(FinancialData[[#This Row],[Date]])</f>
        <v>2</v>
      </c>
      <c r="C33" t="str">
        <f>"Q"&amp;ROUNDUP(MONTH(FinancialData[[#This Row],[Date]])/3,0)</f>
        <v>Q1</v>
      </c>
      <c r="D33" s="8" t="s">
        <v>11</v>
      </c>
      <c r="E33" s="14">
        <v>3115955</v>
      </c>
      <c r="F33" s="14">
        <v>2888010</v>
      </c>
      <c r="G33" s="14">
        <v>227945</v>
      </c>
      <c r="H33" s="6">
        <f>IFERROR(FinancialData[[#This Row],[Profit]]/FinancialData[[#This Row],[Revenue]],0)</f>
        <v>7.3154137335102717E-2</v>
      </c>
      <c r="I33" s="6">
        <f>IFERROR(FinancialData[[#This Row],[Expenses]]/FinancialData[[#This Row],[Revenue]],0)</f>
        <v>0.92684586266489732</v>
      </c>
      <c r="J33" s="3">
        <v>45324</v>
      </c>
      <c r="K33">
        <v>2024</v>
      </c>
    </row>
    <row r="34" spans="1:11" x14ac:dyDescent="0.35">
      <c r="A34" t="str">
        <f>TEXT(FinancialData[[#This Row],[Date]],"MMMM")</f>
        <v>February</v>
      </c>
      <c r="B34">
        <f>MONTH(FinancialData[[#This Row],[Date]])</f>
        <v>2</v>
      </c>
      <c r="C34" t="str">
        <f>"Q"&amp;ROUNDUP(MONTH(FinancialData[[#This Row],[Date]])/3,0)</f>
        <v>Q1</v>
      </c>
      <c r="D34" s="8" t="s">
        <v>11</v>
      </c>
      <c r="E34" s="14">
        <v>6641746</v>
      </c>
      <c r="F34" s="14">
        <v>2466037</v>
      </c>
      <c r="G34" s="14">
        <v>4175709</v>
      </c>
      <c r="H34" s="6">
        <f>IFERROR(FinancialData[[#This Row],[Profit]]/FinancialData[[#This Row],[Revenue]],0)</f>
        <v>0.62870651783431641</v>
      </c>
      <c r="I34" s="6">
        <f>IFERROR(FinancialData[[#This Row],[Expenses]]/FinancialData[[#This Row],[Revenue]],0)</f>
        <v>0.37129348216568353</v>
      </c>
      <c r="J34" s="3">
        <v>45351</v>
      </c>
      <c r="K34">
        <v>2024</v>
      </c>
    </row>
    <row r="35" spans="1:11" x14ac:dyDescent="0.35">
      <c r="A35" t="str">
        <f>TEXT(FinancialData[[#This Row],[Date]],"MMMM")</f>
        <v>February</v>
      </c>
      <c r="B35">
        <f>MONTH(FinancialData[[#This Row],[Date]])</f>
        <v>2</v>
      </c>
      <c r="C35" t="str">
        <f>"Q"&amp;ROUNDUP(MONTH(FinancialData[[#This Row],[Date]])/3,0)</f>
        <v>Q1</v>
      </c>
      <c r="D35" s="8" t="s">
        <v>325</v>
      </c>
      <c r="E35" s="14">
        <v>17872796</v>
      </c>
      <c r="F35" s="14">
        <v>4065021</v>
      </c>
      <c r="G35" s="14">
        <v>13807775</v>
      </c>
      <c r="H35" s="6">
        <f>IFERROR(FinancialData[[#This Row],[Profit]]/FinancialData[[#This Row],[Revenue]],0)</f>
        <v>0.77255819402851122</v>
      </c>
      <c r="I35" s="6">
        <f>IFERROR(FinancialData[[#This Row],[Expenses]]/FinancialData[[#This Row],[Revenue]],0)</f>
        <v>0.22744180597148875</v>
      </c>
      <c r="J35" s="3">
        <v>45698</v>
      </c>
      <c r="K35">
        <v>2025</v>
      </c>
    </row>
    <row r="36" spans="1:11" x14ac:dyDescent="0.35">
      <c r="A36" t="str">
        <f>TEXT(FinancialData[[#This Row],[Date]],"MMMM")</f>
        <v>February</v>
      </c>
      <c r="B36">
        <f>MONTH(FinancialData[[#This Row],[Date]])</f>
        <v>2</v>
      </c>
      <c r="C36" t="str">
        <f>"Q"&amp;ROUNDUP(MONTH(FinancialData[[#This Row],[Date]])/3,0)</f>
        <v>Q1</v>
      </c>
      <c r="D36" s="8" t="s">
        <v>11</v>
      </c>
      <c r="E36" s="14">
        <v>9814492</v>
      </c>
      <c r="F36" s="14">
        <v>5074629</v>
      </c>
      <c r="G36" s="14">
        <v>4739863</v>
      </c>
      <c r="H36" s="6">
        <f>IFERROR(FinancialData[[#This Row],[Profit]]/FinancialData[[#This Row],[Revenue]],0)</f>
        <v>0.48294532208085755</v>
      </c>
      <c r="I36" s="6">
        <f>IFERROR(FinancialData[[#This Row],[Expenses]]/FinancialData[[#This Row],[Revenue]],0)</f>
        <v>0.51705467791914239</v>
      </c>
      <c r="J36" s="3">
        <v>45324</v>
      </c>
      <c r="K36">
        <v>2024</v>
      </c>
    </row>
    <row r="37" spans="1:11" x14ac:dyDescent="0.35">
      <c r="A37" t="str">
        <f>TEXT(FinancialData[[#This Row],[Date]],"MMMM")</f>
        <v>February</v>
      </c>
      <c r="B37">
        <f>MONTH(FinancialData[[#This Row],[Date]])</f>
        <v>2</v>
      </c>
      <c r="C37" t="str">
        <f>"Q"&amp;ROUNDUP(MONTH(FinancialData[[#This Row],[Date]])/3,0)</f>
        <v>Q1</v>
      </c>
      <c r="D37" s="8" t="s">
        <v>325</v>
      </c>
      <c r="E37" s="14">
        <v>6659621</v>
      </c>
      <c r="F37" s="14">
        <v>5718412</v>
      </c>
      <c r="G37" s="14">
        <v>941209</v>
      </c>
      <c r="H37" s="6">
        <f>IFERROR(FinancialData[[#This Row],[Profit]]/FinancialData[[#This Row],[Revenue]],0)</f>
        <v>0.14133071536653513</v>
      </c>
      <c r="I37" s="6">
        <f>IFERROR(FinancialData[[#This Row],[Expenses]]/FinancialData[[#This Row],[Revenue]],0)</f>
        <v>0.85866928463346492</v>
      </c>
      <c r="J37" s="3">
        <v>45700</v>
      </c>
      <c r="K37">
        <v>2025</v>
      </c>
    </row>
    <row r="38" spans="1:11" x14ac:dyDescent="0.35">
      <c r="A38" t="str">
        <f>TEXT(FinancialData[[#This Row],[Date]],"MMMM")</f>
        <v>February</v>
      </c>
      <c r="B38">
        <f>MONTH(FinancialData[[#This Row],[Date]])</f>
        <v>2</v>
      </c>
      <c r="C38" t="str">
        <f>"Q"&amp;ROUNDUP(MONTH(FinancialData[[#This Row],[Date]])/3,0)</f>
        <v>Q1</v>
      </c>
      <c r="D38" s="8" t="s">
        <v>11</v>
      </c>
      <c r="E38" s="14">
        <v>9814492</v>
      </c>
      <c r="F38" s="14">
        <v>5074629</v>
      </c>
      <c r="G38" s="14">
        <v>4739863</v>
      </c>
      <c r="H38" s="6">
        <f>IFERROR(FinancialData[[#This Row],[Profit]]/FinancialData[[#This Row],[Revenue]],0)</f>
        <v>0.48294532208085755</v>
      </c>
      <c r="I38" s="6">
        <f>IFERROR(FinancialData[[#This Row],[Expenses]]/FinancialData[[#This Row],[Revenue]],0)</f>
        <v>0.51705467791914239</v>
      </c>
      <c r="J38" s="3">
        <v>45340</v>
      </c>
      <c r="K38">
        <v>2024</v>
      </c>
    </row>
    <row r="39" spans="1:11" x14ac:dyDescent="0.35">
      <c r="A39" t="str">
        <f>TEXT(FinancialData[[#This Row],[Date]],"MMMM")</f>
        <v>February</v>
      </c>
      <c r="B39">
        <f>MONTH(FinancialData[[#This Row],[Date]])</f>
        <v>2</v>
      </c>
      <c r="C39" t="str">
        <f>"Q"&amp;ROUNDUP(MONTH(FinancialData[[#This Row],[Date]])/3,0)</f>
        <v>Q1</v>
      </c>
      <c r="D39" s="8" t="s">
        <v>11</v>
      </c>
      <c r="E39" s="14">
        <v>6629660</v>
      </c>
      <c r="F39" s="14">
        <v>3523400</v>
      </c>
      <c r="G39" s="14">
        <v>3106260</v>
      </c>
      <c r="H39" s="6">
        <f>IFERROR(FinancialData[[#This Row],[Profit]]/FinancialData[[#This Row],[Revenue]],0)</f>
        <v>0.4685398647894462</v>
      </c>
      <c r="I39" s="6">
        <f>IFERROR(FinancialData[[#This Row],[Expenses]]/FinancialData[[#This Row],[Revenue]],0)</f>
        <v>0.5314601352105538</v>
      </c>
      <c r="J39" s="3">
        <v>45331</v>
      </c>
      <c r="K39">
        <v>2024</v>
      </c>
    </row>
    <row r="40" spans="1:11" x14ac:dyDescent="0.35">
      <c r="A40" t="str">
        <f>TEXT(FinancialData[[#This Row],[Date]],"MMMM")</f>
        <v>February</v>
      </c>
      <c r="B40">
        <f>MONTH(FinancialData[[#This Row],[Date]])</f>
        <v>2</v>
      </c>
      <c r="C40" t="str">
        <f>"Q"&amp;ROUNDUP(MONTH(FinancialData[[#This Row],[Date]])/3,0)</f>
        <v>Q1</v>
      </c>
      <c r="D40" s="8" t="s">
        <v>11</v>
      </c>
      <c r="E40" s="14">
        <v>9869633</v>
      </c>
      <c r="F40" s="14">
        <v>8708702</v>
      </c>
      <c r="G40" s="14">
        <v>1160931</v>
      </c>
      <c r="H40" s="6">
        <f>IFERROR(FinancialData[[#This Row],[Profit]]/FinancialData[[#This Row],[Revenue]],0)</f>
        <v>0.11762656220347809</v>
      </c>
      <c r="I40" s="6">
        <f>IFERROR(FinancialData[[#This Row],[Expenses]]/FinancialData[[#This Row],[Revenue]],0)</f>
        <v>0.88237343779652189</v>
      </c>
      <c r="J40" s="3">
        <v>45338</v>
      </c>
      <c r="K40">
        <v>2024</v>
      </c>
    </row>
    <row r="41" spans="1:11" x14ac:dyDescent="0.35">
      <c r="A41" t="str">
        <f>TEXT(FinancialData[[#This Row],[Date]],"MMMM")</f>
        <v>February</v>
      </c>
      <c r="B41">
        <f>MONTH(FinancialData[[#This Row],[Date]])</f>
        <v>2</v>
      </c>
      <c r="C41" t="str">
        <f>"Q"&amp;ROUNDUP(MONTH(FinancialData[[#This Row],[Date]])/3,0)</f>
        <v>Q1</v>
      </c>
      <c r="D41" s="8" t="s">
        <v>11</v>
      </c>
      <c r="E41" s="14">
        <v>9869633</v>
      </c>
      <c r="F41" s="14">
        <v>8708702</v>
      </c>
      <c r="G41" s="14">
        <v>1160931</v>
      </c>
      <c r="H41" s="6">
        <f>IFERROR(FinancialData[[#This Row],[Profit]]/FinancialData[[#This Row],[Revenue]],0)</f>
        <v>0.11762656220347809</v>
      </c>
      <c r="I41" s="6">
        <f>IFERROR(FinancialData[[#This Row],[Expenses]]/FinancialData[[#This Row],[Revenue]],0)</f>
        <v>0.88237343779652189</v>
      </c>
      <c r="J41" s="3">
        <v>45699</v>
      </c>
      <c r="K41">
        <v>2025</v>
      </c>
    </row>
    <row r="42" spans="1:11" x14ac:dyDescent="0.35">
      <c r="A42" t="str">
        <f>TEXT(FinancialData[[#This Row],[Date]],"MMMM")</f>
        <v>March</v>
      </c>
      <c r="B42">
        <f>MONTH(FinancialData[[#This Row],[Date]])</f>
        <v>3</v>
      </c>
      <c r="C42" t="str">
        <f>"Q"&amp;ROUNDUP(MONTH(FinancialData[[#This Row],[Date]])/3,0)</f>
        <v>Q1</v>
      </c>
      <c r="D42" s="8" t="s">
        <v>11</v>
      </c>
      <c r="E42" s="14">
        <v>10932582</v>
      </c>
      <c r="F42" s="14">
        <v>9516586</v>
      </c>
      <c r="G42" s="14">
        <v>1415996</v>
      </c>
      <c r="H42" s="6">
        <f>IFERROR(FinancialData[[#This Row],[Profit]]/FinancialData[[#This Row],[Revenue]],0)</f>
        <v>0.12952072986966848</v>
      </c>
      <c r="I42" s="6">
        <f>IFERROR(FinancialData[[#This Row],[Expenses]]/FinancialData[[#This Row],[Revenue]],0)</f>
        <v>0.87047927013033155</v>
      </c>
      <c r="J42" s="3">
        <v>45372</v>
      </c>
      <c r="K42">
        <v>2024</v>
      </c>
    </row>
    <row r="43" spans="1:11" x14ac:dyDescent="0.35">
      <c r="A43" t="str">
        <f>TEXT(FinancialData[[#This Row],[Date]],"MMMM")</f>
        <v>March</v>
      </c>
      <c r="B43">
        <f>MONTH(FinancialData[[#This Row],[Date]])</f>
        <v>3</v>
      </c>
      <c r="C43" t="str">
        <f>"Q"&amp;ROUNDUP(MONTH(FinancialData[[#This Row],[Date]])/3,0)</f>
        <v>Q1</v>
      </c>
      <c r="D43" s="8" t="s">
        <v>325</v>
      </c>
      <c r="E43" s="14">
        <v>13395811</v>
      </c>
      <c r="F43" s="14">
        <v>8109917</v>
      </c>
      <c r="G43" s="14">
        <v>5285894</v>
      </c>
      <c r="H43" s="6">
        <f>IFERROR(FinancialData[[#This Row],[Profit]]/FinancialData[[#This Row],[Revenue]],0)</f>
        <v>0.39459305599339972</v>
      </c>
      <c r="I43" s="6">
        <f>IFERROR(FinancialData[[#This Row],[Expenses]]/FinancialData[[#This Row],[Revenue]],0)</f>
        <v>0.60540694400660022</v>
      </c>
      <c r="J43" s="3">
        <v>45721</v>
      </c>
      <c r="K43">
        <v>2025</v>
      </c>
    </row>
    <row r="44" spans="1:11" x14ac:dyDescent="0.35">
      <c r="A44" t="str">
        <f>TEXT(FinancialData[[#This Row],[Date]],"MMMM")</f>
        <v>March</v>
      </c>
      <c r="B44">
        <f>MONTH(FinancialData[[#This Row],[Date]])</f>
        <v>3</v>
      </c>
      <c r="C44" t="str">
        <f>"Q"&amp;ROUNDUP(MONTH(FinancialData[[#This Row],[Date]])/3,0)</f>
        <v>Q1</v>
      </c>
      <c r="D44" s="8" t="s">
        <v>11</v>
      </c>
      <c r="E44" s="14">
        <v>7409657</v>
      </c>
      <c r="F44" s="14">
        <v>6271336</v>
      </c>
      <c r="G44" s="14">
        <v>1138321</v>
      </c>
      <c r="H44" s="6">
        <f>IFERROR(FinancialData[[#This Row],[Profit]]/FinancialData[[#This Row],[Revenue]],0)</f>
        <v>0.15362667934561614</v>
      </c>
      <c r="I44" s="6">
        <f>IFERROR(FinancialData[[#This Row],[Expenses]]/FinancialData[[#This Row],[Revenue]],0)</f>
        <v>0.84637332065438386</v>
      </c>
      <c r="J44" s="3">
        <v>45365</v>
      </c>
      <c r="K44">
        <v>2024</v>
      </c>
    </row>
    <row r="45" spans="1:11" x14ac:dyDescent="0.35">
      <c r="A45" t="str">
        <f>TEXT(FinancialData[[#This Row],[Date]],"MMMM")</f>
        <v>March</v>
      </c>
      <c r="B45">
        <f>MONTH(FinancialData[[#This Row],[Date]])</f>
        <v>3</v>
      </c>
      <c r="C45" t="str">
        <f>"Q"&amp;ROUNDUP(MONTH(FinancialData[[#This Row],[Date]])/3,0)</f>
        <v>Q1</v>
      </c>
      <c r="D45" s="8" t="s">
        <v>11</v>
      </c>
      <c r="E45" s="14">
        <v>7684666</v>
      </c>
      <c r="F45" s="14">
        <v>5053533</v>
      </c>
      <c r="G45" s="14">
        <v>2631133</v>
      </c>
      <c r="H45" s="6">
        <f>IFERROR(FinancialData[[#This Row],[Profit]]/FinancialData[[#This Row],[Revenue]],0)</f>
        <v>0.34238742451526194</v>
      </c>
      <c r="I45" s="6">
        <f>IFERROR(FinancialData[[#This Row],[Expenses]]/FinancialData[[#This Row],[Revenue]],0)</f>
        <v>0.65761257548473806</v>
      </c>
      <c r="J45" s="3">
        <v>45363</v>
      </c>
      <c r="K45">
        <v>2024</v>
      </c>
    </row>
    <row r="46" spans="1:11" x14ac:dyDescent="0.35">
      <c r="A46" t="str">
        <f>TEXT(FinancialData[[#This Row],[Date]],"MMMM")</f>
        <v>March</v>
      </c>
      <c r="B46">
        <f>MONTH(FinancialData[[#This Row],[Date]])</f>
        <v>3</v>
      </c>
      <c r="C46" t="str">
        <f>"Q"&amp;ROUNDUP(MONTH(FinancialData[[#This Row],[Date]])/3,0)</f>
        <v>Q1</v>
      </c>
      <c r="D46" s="8" t="s">
        <v>325</v>
      </c>
      <c r="E46" s="14">
        <v>13395811</v>
      </c>
      <c r="F46" s="14">
        <v>8109917</v>
      </c>
      <c r="G46" s="14">
        <v>5285894</v>
      </c>
      <c r="H46" s="6">
        <f>IFERROR(FinancialData[[#This Row],[Profit]]/FinancialData[[#This Row],[Revenue]],0)</f>
        <v>0.39459305599339972</v>
      </c>
      <c r="I46" s="6">
        <f>IFERROR(FinancialData[[#This Row],[Expenses]]/FinancialData[[#This Row],[Revenue]],0)</f>
        <v>0.60540694400660022</v>
      </c>
      <c r="J46" s="3">
        <v>45362</v>
      </c>
      <c r="K46">
        <v>2024</v>
      </c>
    </row>
    <row r="47" spans="1:11" x14ac:dyDescent="0.35">
      <c r="A47" t="str">
        <f>TEXT(FinancialData[[#This Row],[Date]],"MMMM")</f>
        <v>March</v>
      </c>
      <c r="B47">
        <f>MONTH(FinancialData[[#This Row],[Date]])</f>
        <v>3</v>
      </c>
      <c r="C47" t="str">
        <f>"Q"&amp;ROUNDUP(MONTH(FinancialData[[#This Row],[Date]])/3,0)</f>
        <v>Q1</v>
      </c>
      <c r="D47" s="8" t="s">
        <v>11</v>
      </c>
      <c r="E47" s="14">
        <v>6629660</v>
      </c>
      <c r="F47" s="14">
        <v>3523400</v>
      </c>
      <c r="G47" s="14">
        <v>3106260</v>
      </c>
      <c r="H47" s="6">
        <f>IFERROR(FinancialData[[#This Row],[Profit]]/FinancialData[[#This Row],[Revenue]],0)</f>
        <v>0.4685398647894462</v>
      </c>
      <c r="I47" s="6">
        <f>IFERROR(FinancialData[[#This Row],[Expenses]]/FinancialData[[#This Row],[Revenue]],0)</f>
        <v>0.5314601352105538</v>
      </c>
      <c r="J47" s="3">
        <v>45373</v>
      </c>
      <c r="K47">
        <v>2024</v>
      </c>
    </row>
    <row r="48" spans="1:11" x14ac:dyDescent="0.35">
      <c r="A48" t="str">
        <f>TEXT(FinancialData[[#This Row],[Date]],"MMMM")</f>
        <v>March</v>
      </c>
      <c r="B48">
        <f>MONTH(FinancialData[[#This Row],[Date]])</f>
        <v>3</v>
      </c>
      <c r="C48" t="str">
        <f>"Q"&amp;ROUNDUP(MONTH(FinancialData[[#This Row],[Date]])/3,0)</f>
        <v>Q1</v>
      </c>
      <c r="D48" s="8" t="s">
        <v>325</v>
      </c>
      <c r="E48" s="14">
        <v>9166769</v>
      </c>
      <c r="F48" s="14">
        <v>7049977</v>
      </c>
      <c r="G48" s="14">
        <v>2116792</v>
      </c>
      <c r="H48" s="6">
        <f>IFERROR(FinancialData[[#This Row],[Profit]]/FinancialData[[#This Row],[Revenue]],0)</f>
        <v>0.23092018572738116</v>
      </c>
      <c r="I48" s="6">
        <f>IFERROR(FinancialData[[#This Row],[Expenses]]/FinancialData[[#This Row],[Revenue]],0)</f>
        <v>0.76907981427261884</v>
      </c>
      <c r="J48" s="3">
        <v>45372</v>
      </c>
      <c r="K48">
        <v>2024</v>
      </c>
    </row>
    <row r="49" spans="1:11" x14ac:dyDescent="0.35">
      <c r="A49" t="str">
        <f>TEXT(FinancialData[[#This Row],[Date]],"MMMM")</f>
        <v>March</v>
      </c>
      <c r="B49">
        <f>MONTH(FinancialData[[#This Row],[Date]])</f>
        <v>3</v>
      </c>
      <c r="C49" t="str">
        <f>"Q"&amp;ROUNDUP(MONTH(FinancialData[[#This Row],[Date]])/3,0)</f>
        <v>Q1</v>
      </c>
      <c r="D49" s="8" t="s">
        <v>325</v>
      </c>
      <c r="E49" s="14">
        <v>10422659</v>
      </c>
      <c r="F49" s="14">
        <v>8777125</v>
      </c>
      <c r="G49" s="14">
        <v>1645534</v>
      </c>
      <c r="H49" s="6">
        <f>IFERROR(FinancialData[[#This Row],[Profit]]/FinancialData[[#This Row],[Revenue]],0)</f>
        <v>0.15788044106595064</v>
      </c>
      <c r="I49" s="6">
        <f>IFERROR(FinancialData[[#This Row],[Expenses]]/FinancialData[[#This Row],[Revenue]],0)</f>
        <v>0.84211955893404933</v>
      </c>
      <c r="J49" s="3">
        <v>45722</v>
      </c>
      <c r="K49">
        <v>2025</v>
      </c>
    </row>
    <row r="50" spans="1:11" x14ac:dyDescent="0.35">
      <c r="A50" t="str">
        <f>TEXT(FinancialData[[#This Row],[Date]],"MMMM")</f>
        <v>March</v>
      </c>
      <c r="B50">
        <f>MONTH(FinancialData[[#This Row],[Date]])</f>
        <v>3</v>
      </c>
      <c r="C50" t="str">
        <f>"Q"&amp;ROUNDUP(MONTH(FinancialData[[#This Row],[Date]])/3,0)</f>
        <v>Q1</v>
      </c>
      <c r="D50" s="8" t="s">
        <v>11</v>
      </c>
      <c r="E50" s="14">
        <v>2093322</v>
      </c>
      <c r="F50" s="14">
        <v>846252</v>
      </c>
      <c r="G50" s="14">
        <v>1247070</v>
      </c>
      <c r="H50" s="6">
        <f>IFERROR(FinancialData[[#This Row],[Profit]]/FinancialData[[#This Row],[Revenue]],0)</f>
        <v>0.59573730176246176</v>
      </c>
      <c r="I50" s="6">
        <f>IFERROR(FinancialData[[#This Row],[Expenses]]/FinancialData[[#This Row],[Revenue]],0)</f>
        <v>0.40426269823753824</v>
      </c>
      <c r="J50" s="3">
        <v>45724</v>
      </c>
      <c r="K50">
        <v>2025</v>
      </c>
    </row>
    <row r="51" spans="1:11" x14ac:dyDescent="0.35">
      <c r="A51" t="str">
        <f>TEXT(FinancialData[[#This Row],[Date]],"MMMM")</f>
        <v>March</v>
      </c>
      <c r="B51">
        <f>MONTH(FinancialData[[#This Row],[Date]])</f>
        <v>3</v>
      </c>
      <c r="C51" t="str">
        <f>"Q"&amp;ROUNDUP(MONTH(FinancialData[[#This Row],[Date]])/3,0)</f>
        <v>Q1</v>
      </c>
      <c r="D51" s="8" t="s">
        <v>325</v>
      </c>
      <c r="E51" s="14">
        <v>8925622</v>
      </c>
      <c r="F51" s="14">
        <v>7859625</v>
      </c>
      <c r="G51" s="14">
        <v>1065997</v>
      </c>
      <c r="H51" s="6">
        <f>IFERROR(FinancialData[[#This Row],[Profit]]/FinancialData[[#This Row],[Revenue]],0)</f>
        <v>0.11943111639726621</v>
      </c>
      <c r="I51" s="6">
        <f>IFERROR(FinancialData[[#This Row],[Expenses]]/FinancialData[[#This Row],[Revenue]],0)</f>
        <v>0.88056888360273378</v>
      </c>
      <c r="J51" s="3">
        <v>45723</v>
      </c>
      <c r="K51">
        <v>2025</v>
      </c>
    </row>
    <row r="52" spans="1:11" x14ac:dyDescent="0.35">
      <c r="A52" t="str">
        <f>TEXT(FinancialData[[#This Row],[Date]],"MMMM")</f>
        <v>March</v>
      </c>
      <c r="B52">
        <f>MONTH(FinancialData[[#This Row],[Date]])</f>
        <v>3</v>
      </c>
      <c r="C52" t="str">
        <f>"Q"&amp;ROUNDUP(MONTH(FinancialData[[#This Row],[Date]])/3,0)</f>
        <v>Q1</v>
      </c>
      <c r="D52" s="8" t="s">
        <v>11</v>
      </c>
      <c r="E52" s="14">
        <v>3115955</v>
      </c>
      <c r="F52" s="14">
        <v>2888010</v>
      </c>
      <c r="G52" s="14">
        <v>227945</v>
      </c>
      <c r="H52" s="6">
        <f>IFERROR(FinancialData[[#This Row],[Profit]]/FinancialData[[#This Row],[Revenue]],0)</f>
        <v>7.3154137335102717E-2</v>
      </c>
      <c r="I52" s="6">
        <f>IFERROR(FinancialData[[#This Row],[Expenses]]/FinancialData[[#This Row],[Revenue]],0)</f>
        <v>0.92684586266489732</v>
      </c>
      <c r="J52" s="3">
        <v>45361</v>
      </c>
      <c r="K52">
        <v>2024</v>
      </c>
    </row>
    <row r="53" spans="1:11" x14ac:dyDescent="0.35">
      <c r="A53" t="str">
        <f>TEXT(FinancialData[[#This Row],[Date]],"MMMM")</f>
        <v>March</v>
      </c>
      <c r="B53">
        <f>MONTH(FinancialData[[#This Row],[Date]])</f>
        <v>3</v>
      </c>
      <c r="C53" t="str">
        <f>"Q"&amp;ROUNDUP(MONTH(FinancialData[[#This Row],[Date]])/3,0)</f>
        <v>Q1</v>
      </c>
      <c r="D53" s="8" t="s">
        <v>11</v>
      </c>
      <c r="E53" s="14">
        <v>7713630</v>
      </c>
      <c r="F53" s="14">
        <v>1832250</v>
      </c>
      <c r="G53" s="14">
        <v>5881380</v>
      </c>
      <c r="H53" s="6">
        <f>IFERROR(FinancialData[[#This Row],[Profit]]/FinancialData[[#This Row],[Revenue]],0)</f>
        <v>0.7624659207143718</v>
      </c>
      <c r="I53" s="6">
        <f>IFERROR(FinancialData[[#This Row],[Expenses]]/FinancialData[[#This Row],[Revenue]],0)</f>
        <v>0.23753407928562817</v>
      </c>
      <c r="J53" s="3">
        <v>45352</v>
      </c>
      <c r="K53">
        <v>2024</v>
      </c>
    </row>
    <row r="54" spans="1:11" x14ac:dyDescent="0.35">
      <c r="A54" t="str">
        <f>TEXT(FinancialData[[#This Row],[Date]],"MMMM")</f>
        <v>March</v>
      </c>
      <c r="B54">
        <f>MONTH(FinancialData[[#This Row],[Date]])</f>
        <v>3</v>
      </c>
      <c r="C54" t="str">
        <f>"Q"&amp;ROUNDUP(MONTH(FinancialData[[#This Row],[Date]])/3,0)</f>
        <v>Q1</v>
      </c>
      <c r="D54" s="8" t="s">
        <v>11</v>
      </c>
      <c r="E54" s="14">
        <v>7409657</v>
      </c>
      <c r="F54" s="14">
        <v>6271336</v>
      </c>
      <c r="G54" s="14">
        <v>1138321</v>
      </c>
      <c r="H54" s="6">
        <f>IFERROR(FinancialData[[#This Row],[Profit]]/FinancialData[[#This Row],[Revenue]],0)</f>
        <v>0.15362667934561614</v>
      </c>
      <c r="I54" s="6">
        <f>IFERROR(FinancialData[[#This Row],[Expenses]]/FinancialData[[#This Row],[Revenue]],0)</f>
        <v>0.84637332065438386</v>
      </c>
      <c r="J54" s="3">
        <v>45724</v>
      </c>
      <c r="K54">
        <v>2025</v>
      </c>
    </row>
    <row r="55" spans="1:11" x14ac:dyDescent="0.35">
      <c r="A55" t="str">
        <f>TEXT(FinancialData[[#This Row],[Date]],"MMMM")</f>
        <v>March</v>
      </c>
      <c r="B55">
        <f>MONTH(FinancialData[[#This Row],[Date]])</f>
        <v>3</v>
      </c>
      <c r="C55" t="str">
        <f>"Q"&amp;ROUNDUP(MONTH(FinancialData[[#This Row],[Date]])/3,0)</f>
        <v>Q1</v>
      </c>
      <c r="D55" s="8" t="s">
        <v>325</v>
      </c>
      <c r="E55" s="14">
        <v>9406634</v>
      </c>
      <c r="F55" s="14">
        <v>1310092</v>
      </c>
      <c r="G55" s="14">
        <v>8096542</v>
      </c>
      <c r="H55" s="6">
        <f>IFERROR(FinancialData[[#This Row],[Profit]]/FinancialData[[#This Row],[Revenue]],0)</f>
        <v>0.8607268019570018</v>
      </c>
      <c r="I55" s="6">
        <f>IFERROR(FinancialData[[#This Row],[Expenses]]/FinancialData[[#This Row],[Revenue]],0)</f>
        <v>0.13927319804299818</v>
      </c>
      <c r="J55" s="3">
        <v>45730</v>
      </c>
      <c r="K55">
        <v>2025</v>
      </c>
    </row>
    <row r="56" spans="1:11" x14ac:dyDescent="0.35">
      <c r="A56" t="str">
        <f>TEXT(FinancialData[[#This Row],[Date]],"MMMM")</f>
        <v>March</v>
      </c>
      <c r="B56">
        <f>MONTH(FinancialData[[#This Row],[Date]])</f>
        <v>3</v>
      </c>
      <c r="C56" t="str">
        <f>"Q"&amp;ROUNDUP(MONTH(FinancialData[[#This Row],[Date]])/3,0)</f>
        <v>Q1</v>
      </c>
      <c r="D56" s="8" t="s">
        <v>11</v>
      </c>
      <c r="E56" s="14">
        <v>10932582</v>
      </c>
      <c r="F56" s="14">
        <v>9516586</v>
      </c>
      <c r="G56" s="14">
        <v>1415996</v>
      </c>
      <c r="H56" s="6">
        <f>IFERROR(FinancialData[[#This Row],[Profit]]/FinancialData[[#This Row],[Revenue]],0)</f>
        <v>0.12952072986966848</v>
      </c>
      <c r="I56" s="6">
        <f>IFERROR(FinancialData[[#This Row],[Expenses]]/FinancialData[[#This Row],[Revenue]],0)</f>
        <v>0.87047927013033155</v>
      </c>
      <c r="J56" s="3">
        <v>45364</v>
      </c>
      <c r="K56">
        <v>2024</v>
      </c>
    </row>
    <row r="57" spans="1:11" x14ac:dyDescent="0.35">
      <c r="A57" t="str">
        <f>TEXT(FinancialData[[#This Row],[Date]],"MMMM")</f>
        <v>March</v>
      </c>
      <c r="B57">
        <f>MONTH(FinancialData[[#This Row],[Date]])</f>
        <v>3</v>
      </c>
      <c r="C57" t="str">
        <f>"Q"&amp;ROUNDUP(MONTH(FinancialData[[#This Row],[Date]])/3,0)</f>
        <v>Q1</v>
      </c>
      <c r="D57" s="8" t="s">
        <v>325</v>
      </c>
      <c r="E57" s="14">
        <v>17872796</v>
      </c>
      <c r="F57" s="14">
        <v>4065021</v>
      </c>
      <c r="G57" s="14">
        <v>13807775</v>
      </c>
      <c r="H57" s="6">
        <f>IFERROR(FinancialData[[#This Row],[Profit]]/FinancialData[[#This Row],[Revenue]],0)</f>
        <v>0.77255819402851122</v>
      </c>
      <c r="I57" s="6">
        <f>IFERROR(FinancialData[[#This Row],[Expenses]]/FinancialData[[#This Row],[Revenue]],0)</f>
        <v>0.22744180597148875</v>
      </c>
      <c r="J57" s="3">
        <v>45379</v>
      </c>
      <c r="K57">
        <v>2024</v>
      </c>
    </row>
    <row r="58" spans="1:11" x14ac:dyDescent="0.35">
      <c r="A58" t="str">
        <f>TEXT(FinancialData[[#This Row],[Date]],"MMMM")</f>
        <v>March</v>
      </c>
      <c r="B58">
        <f>MONTH(FinancialData[[#This Row],[Date]])</f>
        <v>3</v>
      </c>
      <c r="C58" t="str">
        <f>"Q"&amp;ROUNDUP(MONTH(FinancialData[[#This Row],[Date]])/3,0)</f>
        <v>Q1</v>
      </c>
      <c r="D58" s="8" t="s">
        <v>11</v>
      </c>
      <c r="E58" s="14">
        <v>9869633</v>
      </c>
      <c r="F58" s="14">
        <v>8708702</v>
      </c>
      <c r="G58" s="14">
        <v>1160931</v>
      </c>
      <c r="H58" s="6">
        <f>IFERROR(FinancialData[[#This Row],[Profit]]/FinancialData[[#This Row],[Revenue]],0)</f>
        <v>0.11762656220347809</v>
      </c>
      <c r="I58" s="6">
        <f>IFERROR(FinancialData[[#This Row],[Expenses]]/FinancialData[[#This Row],[Revenue]],0)</f>
        <v>0.88237343779652189</v>
      </c>
      <c r="J58" s="3">
        <v>45364</v>
      </c>
      <c r="K58">
        <v>2024</v>
      </c>
    </row>
    <row r="59" spans="1:11" x14ac:dyDescent="0.35">
      <c r="A59" t="str">
        <f>TEXT(FinancialData[[#This Row],[Date]],"MMMM")</f>
        <v>March</v>
      </c>
      <c r="B59">
        <f>MONTH(FinancialData[[#This Row],[Date]])</f>
        <v>3</v>
      </c>
      <c r="C59" t="str">
        <f>"Q"&amp;ROUNDUP(MONTH(FinancialData[[#This Row],[Date]])/3,0)</f>
        <v>Q1</v>
      </c>
      <c r="D59" s="8" t="s">
        <v>325</v>
      </c>
      <c r="E59" s="14">
        <v>17872796</v>
      </c>
      <c r="F59" s="14">
        <v>4065021</v>
      </c>
      <c r="G59" s="14">
        <v>13807775</v>
      </c>
      <c r="H59" s="6">
        <f>IFERROR(FinancialData[[#This Row],[Profit]]/FinancialData[[#This Row],[Revenue]],0)</f>
        <v>0.77255819402851122</v>
      </c>
      <c r="I59" s="6">
        <f>IFERROR(FinancialData[[#This Row],[Expenses]]/FinancialData[[#This Row],[Revenue]],0)</f>
        <v>0.22744180597148875</v>
      </c>
      <c r="J59" s="3">
        <v>45740</v>
      </c>
      <c r="K59">
        <v>2025</v>
      </c>
    </row>
    <row r="60" spans="1:11" x14ac:dyDescent="0.35">
      <c r="A60" t="str">
        <f>TEXT(FinancialData[[#This Row],[Date]],"MMMM")</f>
        <v>March</v>
      </c>
      <c r="B60">
        <f>MONTH(FinancialData[[#This Row],[Date]])</f>
        <v>3</v>
      </c>
      <c r="C60" t="str">
        <f>"Q"&amp;ROUNDUP(MONTH(FinancialData[[#This Row],[Date]])/3,0)</f>
        <v>Q1</v>
      </c>
      <c r="D60" s="8" t="s">
        <v>325</v>
      </c>
      <c r="E60" s="14">
        <v>13243123</v>
      </c>
      <c r="F60" s="14">
        <v>5468428</v>
      </c>
      <c r="G60" s="14">
        <v>7774695</v>
      </c>
      <c r="H60" s="6">
        <f>IFERROR(FinancialData[[#This Row],[Profit]]/FinancialData[[#This Row],[Revenue]],0)</f>
        <v>0.5870741365159865</v>
      </c>
      <c r="I60" s="6">
        <f>IFERROR(FinancialData[[#This Row],[Expenses]]/FinancialData[[#This Row],[Revenue]],0)</f>
        <v>0.41292586348401356</v>
      </c>
      <c r="J60" s="3">
        <v>45381</v>
      </c>
      <c r="K60">
        <v>2024</v>
      </c>
    </row>
    <row r="61" spans="1:11" x14ac:dyDescent="0.35">
      <c r="A61" t="str">
        <f>TEXT(FinancialData[[#This Row],[Date]],"MMMM")</f>
        <v>March</v>
      </c>
      <c r="B61">
        <f>MONTH(FinancialData[[#This Row],[Date]])</f>
        <v>3</v>
      </c>
      <c r="C61" t="str">
        <f>"Q"&amp;ROUNDUP(MONTH(FinancialData[[#This Row],[Date]])/3,0)</f>
        <v>Q1</v>
      </c>
      <c r="D61" s="8" t="s">
        <v>11</v>
      </c>
      <c r="E61" s="14">
        <v>9869633</v>
      </c>
      <c r="F61" s="14">
        <v>8708702</v>
      </c>
      <c r="G61" s="14">
        <v>1160931</v>
      </c>
      <c r="H61" s="6">
        <f>IFERROR(FinancialData[[#This Row],[Profit]]/FinancialData[[#This Row],[Revenue]],0)</f>
        <v>0.11762656220347809</v>
      </c>
      <c r="I61" s="6">
        <f>IFERROR(FinancialData[[#This Row],[Expenses]]/FinancialData[[#This Row],[Revenue]],0)</f>
        <v>0.88237343779652189</v>
      </c>
      <c r="J61" s="3">
        <v>45737</v>
      </c>
      <c r="K61">
        <v>2025</v>
      </c>
    </row>
    <row r="62" spans="1:11" x14ac:dyDescent="0.35">
      <c r="A62" t="str">
        <f>TEXT(FinancialData[[#This Row],[Date]],"MMMM")</f>
        <v>April</v>
      </c>
      <c r="B62">
        <f>MONTH(FinancialData[[#This Row],[Date]])</f>
        <v>4</v>
      </c>
      <c r="C62" t="str">
        <f>"Q"&amp;ROUNDUP(MONTH(FinancialData[[#This Row],[Date]])/3,0)</f>
        <v>Q2</v>
      </c>
      <c r="D62" s="8" t="s">
        <v>11</v>
      </c>
      <c r="E62" s="14">
        <v>7409657</v>
      </c>
      <c r="F62" s="14">
        <v>6271336</v>
      </c>
      <c r="G62" s="14">
        <v>1138321</v>
      </c>
      <c r="H62" s="6">
        <f>IFERROR(FinancialData[[#This Row],[Profit]]/FinancialData[[#This Row],[Revenue]],0)</f>
        <v>0.15362667934561614</v>
      </c>
      <c r="I62" s="6">
        <f>IFERROR(FinancialData[[#This Row],[Expenses]]/FinancialData[[#This Row],[Revenue]],0)</f>
        <v>0.84637332065438386</v>
      </c>
      <c r="J62" s="3">
        <v>45385</v>
      </c>
      <c r="K62">
        <v>2024</v>
      </c>
    </row>
    <row r="63" spans="1:11" x14ac:dyDescent="0.35">
      <c r="A63" t="str">
        <f>TEXT(FinancialData[[#This Row],[Date]],"MMMM")</f>
        <v>April</v>
      </c>
      <c r="B63">
        <f>MONTH(FinancialData[[#This Row],[Date]])</f>
        <v>4</v>
      </c>
      <c r="C63" t="str">
        <f>"Q"&amp;ROUNDUP(MONTH(FinancialData[[#This Row],[Date]])/3,0)</f>
        <v>Q2</v>
      </c>
      <c r="D63" s="8" t="s">
        <v>11</v>
      </c>
      <c r="E63" s="14">
        <v>6629660</v>
      </c>
      <c r="F63" s="14">
        <v>3523400</v>
      </c>
      <c r="G63" s="14">
        <v>3106260</v>
      </c>
      <c r="H63" s="6">
        <f>IFERROR(FinancialData[[#This Row],[Profit]]/FinancialData[[#This Row],[Revenue]],0)</f>
        <v>0.4685398647894462</v>
      </c>
      <c r="I63" s="6">
        <f>IFERROR(FinancialData[[#This Row],[Expenses]]/FinancialData[[#This Row],[Revenue]],0)</f>
        <v>0.5314601352105538</v>
      </c>
      <c r="J63" s="3">
        <v>45765</v>
      </c>
      <c r="K63">
        <v>2025</v>
      </c>
    </row>
    <row r="64" spans="1:11" x14ac:dyDescent="0.35">
      <c r="A64" t="str">
        <f>TEXT(FinancialData[[#This Row],[Date]],"MMMM")</f>
        <v>April</v>
      </c>
      <c r="B64">
        <f>MONTH(FinancialData[[#This Row],[Date]])</f>
        <v>4</v>
      </c>
      <c r="C64" t="str">
        <f>"Q"&amp;ROUNDUP(MONTH(FinancialData[[#This Row],[Date]])/3,0)</f>
        <v>Q2</v>
      </c>
      <c r="D64" s="8" t="s">
        <v>11</v>
      </c>
      <c r="E64" s="14">
        <v>10887632</v>
      </c>
      <c r="F64" s="14">
        <v>3314932</v>
      </c>
      <c r="G64" s="14">
        <v>7572700</v>
      </c>
      <c r="H64" s="6">
        <f>IFERROR(FinancialData[[#This Row],[Profit]]/FinancialData[[#This Row],[Revenue]],0)</f>
        <v>0.69553232511899743</v>
      </c>
      <c r="I64" s="6">
        <f>IFERROR(FinancialData[[#This Row],[Expenses]]/FinancialData[[#This Row],[Revenue]],0)</f>
        <v>0.30446767488100257</v>
      </c>
      <c r="J64" s="3">
        <v>45756</v>
      </c>
      <c r="K64">
        <v>2025</v>
      </c>
    </row>
    <row r="65" spans="1:11" x14ac:dyDescent="0.35">
      <c r="A65" t="str">
        <f>TEXT(FinancialData[[#This Row],[Date]],"MMMM")</f>
        <v>April</v>
      </c>
      <c r="B65">
        <f>MONTH(FinancialData[[#This Row],[Date]])</f>
        <v>4</v>
      </c>
      <c r="C65" t="str">
        <f>"Q"&amp;ROUNDUP(MONTH(FinancialData[[#This Row],[Date]])/3,0)</f>
        <v>Q2</v>
      </c>
      <c r="D65" s="8" t="s">
        <v>11</v>
      </c>
      <c r="E65" s="14">
        <v>6629660</v>
      </c>
      <c r="F65" s="14">
        <v>3523400</v>
      </c>
      <c r="G65" s="14">
        <v>3106260</v>
      </c>
      <c r="H65" s="6">
        <f>IFERROR(FinancialData[[#This Row],[Profit]]/FinancialData[[#This Row],[Revenue]],0)</f>
        <v>0.4685398647894462</v>
      </c>
      <c r="I65" s="6">
        <f>IFERROR(FinancialData[[#This Row],[Expenses]]/FinancialData[[#This Row],[Revenue]],0)</f>
        <v>0.5314601352105538</v>
      </c>
      <c r="J65" s="3">
        <v>45761</v>
      </c>
      <c r="K65">
        <v>2025</v>
      </c>
    </row>
    <row r="66" spans="1:11" x14ac:dyDescent="0.35">
      <c r="A66" t="str">
        <f>TEXT(FinancialData[[#This Row],[Date]],"MMMM")</f>
        <v>April</v>
      </c>
      <c r="B66">
        <f>MONTH(FinancialData[[#This Row],[Date]])</f>
        <v>4</v>
      </c>
      <c r="C66" t="str">
        <f>"Q"&amp;ROUNDUP(MONTH(FinancialData[[#This Row],[Date]])/3,0)</f>
        <v>Q2</v>
      </c>
      <c r="D66" s="8" t="s">
        <v>11</v>
      </c>
      <c r="E66" s="14">
        <v>5297234</v>
      </c>
      <c r="F66" s="14">
        <v>3596622</v>
      </c>
      <c r="G66" s="14">
        <v>1700612</v>
      </c>
      <c r="H66" s="6">
        <f>IFERROR(FinancialData[[#This Row],[Profit]]/FinancialData[[#This Row],[Revenue]],0)</f>
        <v>0.32103773403251584</v>
      </c>
      <c r="I66" s="6">
        <f>IFERROR(FinancialData[[#This Row],[Expenses]]/FinancialData[[#This Row],[Revenue]],0)</f>
        <v>0.67896226596748421</v>
      </c>
      <c r="J66" s="3">
        <v>45396</v>
      </c>
      <c r="K66">
        <v>2024</v>
      </c>
    </row>
    <row r="67" spans="1:11" x14ac:dyDescent="0.35">
      <c r="A67" t="str">
        <f>TEXT(FinancialData[[#This Row],[Date]],"MMMM")</f>
        <v>April</v>
      </c>
      <c r="B67">
        <f>MONTH(FinancialData[[#This Row],[Date]])</f>
        <v>4</v>
      </c>
      <c r="C67" t="str">
        <f>"Q"&amp;ROUNDUP(MONTH(FinancialData[[#This Row],[Date]])/3,0)</f>
        <v>Q2</v>
      </c>
      <c r="D67" s="8" t="s">
        <v>11</v>
      </c>
      <c r="E67" s="14">
        <v>10932582</v>
      </c>
      <c r="F67" s="14">
        <v>9516586</v>
      </c>
      <c r="G67" s="14">
        <v>1415996</v>
      </c>
      <c r="H67" s="6">
        <f>IFERROR(FinancialData[[#This Row],[Profit]]/FinancialData[[#This Row],[Revenue]],0)</f>
        <v>0.12952072986966848</v>
      </c>
      <c r="I67" s="6">
        <f>IFERROR(FinancialData[[#This Row],[Expenses]]/FinancialData[[#This Row],[Revenue]],0)</f>
        <v>0.87047927013033155</v>
      </c>
      <c r="J67" s="3">
        <v>45400</v>
      </c>
      <c r="K67">
        <v>2024</v>
      </c>
    </row>
    <row r="68" spans="1:11" x14ac:dyDescent="0.35">
      <c r="A68" t="str">
        <f>TEXT(FinancialData[[#This Row],[Date]],"MMMM")</f>
        <v>April</v>
      </c>
      <c r="B68">
        <f>MONTH(FinancialData[[#This Row],[Date]])</f>
        <v>4</v>
      </c>
      <c r="C68" t="str">
        <f>"Q"&amp;ROUNDUP(MONTH(FinancialData[[#This Row],[Date]])/3,0)</f>
        <v>Q2</v>
      </c>
      <c r="D68" s="8" t="s">
        <v>11</v>
      </c>
      <c r="E68" s="14">
        <v>5297234</v>
      </c>
      <c r="F68" s="14">
        <v>3596622</v>
      </c>
      <c r="G68" s="14">
        <v>1700612</v>
      </c>
      <c r="H68" s="6">
        <f>IFERROR(FinancialData[[#This Row],[Profit]]/FinancialData[[#This Row],[Revenue]],0)</f>
        <v>0.32103773403251584</v>
      </c>
      <c r="I68" s="6">
        <f>IFERROR(FinancialData[[#This Row],[Expenses]]/FinancialData[[#This Row],[Revenue]],0)</f>
        <v>0.67896226596748421</v>
      </c>
      <c r="J68" s="3">
        <v>45406</v>
      </c>
      <c r="K68">
        <v>2024</v>
      </c>
    </row>
    <row r="69" spans="1:11" x14ac:dyDescent="0.35">
      <c r="A69" t="str">
        <f>TEXT(FinancialData[[#This Row],[Date]],"MMMM")</f>
        <v>April</v>
      </c>
      <c r="B69">
        <f>MONTH(FinancialData[[#This Row],[Date]])</f>
        <v>4</v>
      </c>
      <c r="C69" t="str">
        <f>"Q"&amp;ROUNDUP(MONTH(FinancialData[[#This Row],[Date]])/3,0)</f>
        <v>Q2</v>
      </c>
      <c r="D69" s="8" t="s">
        <v>325</v>
      </c>
      <c r="E69" s="14">
        <v>13395142</v>
      </c>
      <c r="F69" s="14">
        <v>3866714</v>
      </c>
      <c r="G69" s="14">
        <v>9528428</v>
      </c>
      <c r="H69" s="6">
        <f>IFERROR(FinancialData[[#This Row],[Profit]]/FinancialData[[#This Row],[Revenue]],0)</f>
        <v>0.71133460175338192</v>
      </c>
      <c r="I69" s="6">
        <f>IFERROR(FinancialData[[#This Row],[Expenses]]/FinancialData[[#This Row],[Revenue]],0)</f>
        <v>0.28866539824661808</v>
      </c>
      <c r="J69" s="3">
        <v>45771</v>
      </c>
      <c r="K69">
        <v>2025</v>
      </c>
    </row>
    <row r="70" spans="1:11" x14ac:dyDescent="0.35">
      <c r="A70" t="str">
        <f>TEXT(FinancialData[[#This Row],[Date]],"MMMM")</f>
        <v>April</v>
      </c>
      <c r="B70">
        <f>MONTH(FinancialData[[#This Row],[Date]])</f>
        <v>4</v>
      </c>
      <c r="C70" t="str">
        <f>"Q"&amp;ROUNDUP(MONTH(FinancialData[[#This Row],[Date]])/3,0)</f>
        <v>Q2</v>
      </c>
      <c r="D70" s="8" t="s">
        <v>325</v>
      </c>
      <c r="E70" s="14">
        <v>13395142</v>
      </c>
      <c r="F70" s="14">
        <v>3866714</v>
      </c>
      <c r="G70" s="14">
        <v>9528428</v>
      </c>
      <c r="H70" s="6">
        <f>IFERROR(FinancialData[[#This Row],[Profit]]/FinancialData[[#This Row],[Revenue]],0)</f>
        <v>0.71133460175338192</v>
      </c>
      <c r="I70" s="6">
        <f>IFERROR(FinancialData[[#This Row],[Expenses]]/FinancialData[[#This Row],[Revenue]],0)</f>
        <v>0.28866539824661808</v>
      </c>
      <c r="J70" s="3">
        <v>45406</v>
      </c>
      <c r="K70">
        <v>2024</v>
      </c>
    </row>
    <row r="71" spans="1:11" x14ac:dyDescent="0.35">
      <c r="A71" t="str">
        <f>TEXT(FinancialData[[#This Row],[Date]],"MMMM")</f>
        <v>April</v>
      </c>
      <c r="B71">
        <f>MONTH(FinancialData[[#This Row],[Date]])</f>
        <v>4</v>
      </c>
      <c r="C71" t="str">
        <f>"Q"&amp;ROUNDUP(MONTH(FinancialData[[#This Row],[Date]])/3,0)</f>
        <v>Q2</v>
      </c>
      <c r="D71" s="8" t="s">
        <v>325</v>
      </c>
      <c r="E71" s="14">
        <v>10655734</v>
      </c>
      <c r="F71" s="14">
        <v>2408508</v>
      </c>
      <c r="G71" s="14">
        <v>8247226</v>
      </c>
      <c r="H71" s="6">
        <f>IFERROR(FinancialData[[#This Row],[Profit]]/FinancialData[[#This Row],[Revenue]],0)</f>
        <v>0.77397070910366195</v>
      </c>
      <c r="I71" s="6">
        <f>IFERROR(FinancialData[[#This Row],[Expenses]]/FinancialData[[#This Row],[Revenue]],0)</f>
        <v>0.22602929089633805</v>
      </c>
      <c r="J71" s="3">
        <v>45409</v>
      </c>
      <c r="K71">
        <v>2024</v>
      </c>
    </row>
    <row r="72" spans="1:11" x14ac:dyDescent="0.35">
      <c r="A72" t="str">
        <f>TEXT(FinancialData[[#This Row],[Date]],"MMMM")</f>
        <v>April</v>
      </c>
      <c r="B72">
        <f>MONTH(FinancialData[[#This Row],[Date]])</f>
        <v>4</v>
      </c>
      <c r="C72" t="str">
        <f>"Q"&amp;ROUNDUP(MONTH(FinancialData[[#This Row],[Date]])/3,0)</f>
        <v>Q2</v>
      </c>
      <c r="D72" s="8" t="s">
        <v>325</v>
      </c>
      <c r="E72" s="14">
        <v>9406634</v>
      </c>
      <c r="F72" s="14">
        <v>1310092</v>
      </c>
      <c r="G72" s="14">
        <v>8096542</v>
      </c>
      <c r="H72" s="6">
        <f>IFERROR(FinancialData[[#This Row],[Profit]]/FinancialData[[#This Row],[Revenue]],0)</f>
        <v>0.8607268019570018</v>
      </c>
      <c r="I72" s="6">
        <f>IFERROR(FinancialData[[#This Row],[Expenses]]/FinancialData[[#This Row],[Revenue]],0)</f>
        <v>0.13927319804299818</v>
      </c>
      <c r="J72" s="3">
        <v>45751</v>
      </c>
      <c r="K72">
        <v>2025</v>
      </c>
    </row>
    <row r="73" spans="1:11" x14ac:dyDescent="0.35">
      <c r="A73" t="str">
        <f>TEXT(FinancialData[[#This Row],[Date]],"MMMM")</f>
        <v>April</v>
      </c>
      <c r="B73">
        <f>MONTH(FinancialData[[#This Row],[Date]])</f>
        <v>4</v>
      </c>
      <c r="C73" t="str">
        <f>"Q"&amp;ROUNDUP(MONTH(FinancialData[[#This Row],[Date]])/3,0)</f>
        <v>Q2</v>
      </c>
      <c r="D73" s="8" t="s">
        <v>11</v>
      </c>
      <c r="E73" s="14">
        <v>7684666</v>
      </c>
      <c r="F73" s="14">
        <v>5053533</v>
      </c>
      <c r="G73" s="14">
        <v>2631133</v>
      </c>
      <c r="H73" s="6">
        <f>IFERROR(FinancialData[[#This Row],[Profit]]/FinancialData[[#This Row],[Revenue]],0)</f>
        <v>0.34238742451526194</v>
      </c>
      <c r="I73" s="6">
        <f>IFERROR(FinancialData[[#This Row],[Expenses]]/FinancialData[[#This Row],[Revenue]],0)</f>
        <v>0.65761257548473806</v>
      </c>
      <c r="J73" s="3">
        <v>45404</v>
      </c>
      <c r="K73">
        <v>2024</v>
      </c>
    </row>
    <row r="74" spans="1:11" x14ac:dyDescent="0.35">
      <c r="A74" t="str">
        <f>TEXT(FinancialData[[#This Row],[Date]],"MMMM")</f>
        <v>April</v>
      </c>
      <c r="B74">
        <f>MONTH(FinancialData[[#This Row],[Date]])</f>
        <v>4</v>
      </c>
      <c r="C74" t="str">
        <f>"Q"&amp;ROUNDUP(MONTH(FinancialData[[#This Row],[Date]])/3,0)</f>
        <v>Q2</v>
      </c>
      <c r="D74" s="8" t="s">
        <v>11</v>
      </c>
      <c r="E74" s="14">
        <v>10887632</v>
      </c>
      <c r="F74" s="14">
        <v>3314932</v>
      </c>
      <c r="G74" s="14">
        <v>7572700</v>
      </c>
      <c r="H74" s="6">
        <f>IFERROR(FinancialData[[#This Row],[Profit]]/FinancialData[[#This Row],[Revenue]],0)</f>
        <v>0.69553232511899743</v>
      </c>
      <c r="I74" s="6">
        <f>IFERROR(FinancialData[[#This Row],[Expenses]]/FinancialData[[#This Row],[Revenue]],0)</f>
        <v>0.30446767488100257</v>
      </c>
      <c r="J74" s="3">
        <v>45386</v>
      </c>
      <c r="K74">
        <v>2024</v>
      </c>
    </row>
    <row r="75" spans="1:11" x14ac:dyDescent="0.35">
      <c r="A75" t="str">
        <f>TEXT(FinancialData[[#This Row],[Date]],"MMMM")</f>
        <v>April</v>
      </c>
      <c r="B75">
        <f>MONTH(FinancialData[[#This Row],[Date]])</f>
        <v>4</v>
      </c>
      <c r="C75" t="str">
        <f>"Q"&amp;ROUNDUP(MONTH(FinancialData[[#This Row],[Date]])/3,0)</f>
        <v>Q2</v>
      </c>
      <c r="D75" s="8" t="s">
        <v>11</v>
      </c>
      <c r="E75" s="14">
        <v>9814492</v>
      </c>
      <c r="F75" s="14">
        <v>5074629</v>
      </c>
      <c r="G75" s="14">
        <v>4739863</v>
      </c>
      <c r="H75" s="6">
        <f>IFERROR(FinancialData[[#This Row],[Profit]]/FinancialData[[#This Row],[Revenue]],0)</f>
        <v>0.48294532208085755</v>
      </c>
      <c r="I75" s="6">
        <f>IFERROR(FinancialData[[#This Row],[Expenses]]/FinancialData[[#This Row],[Revenue]],0)</f>
        <v>0.51705467791914239</v>
      </c>
      <c r="J75" s="3">
        <v>45406</v>
      </c>
      <c r="K75">
        <v>2024</v>
      </c>
    </row>
    <row r="76" spans="1:11" x14ac:dyDescent="0.35">
      <c r="A76" t="str">
        <f>TEXT(FinancialData[[#This Row],[Date]],"MMMM")</f>
        <v>April</v>
      </c>
      <c r="B76">
        <f>MONTH(FinancialData[[#This Row],[Date]])</f>
        <v>4</v>
      </c>
      <c r="C76" t="str">
        <f>"Q"&amp;ROUNDUP(MONTH(FinancialData[[#This Row],[Date]])/3,0)</f>
        <v>Q2</v>
      </c>
      <c r="D76" s="8" t="s">
        <v>11</v>
      </c>
      <c r="E76" s="14">
        <v>6629660</v>
      </c>
      <c r="F76" s="14">
        <v>3523400</v>
      </c>
      <c r="G76" s="14">
        <v>3106260</v>
      </c>
      <c r="H76" s="6">
        <f>IFERROR(FinancialData[[#This Row],[Profit]]/FinancialData[[#This Row],[Revenue]],0)</f>
        <v>0.4685398647894462</v>
      </c>
      <c r="I76" s="6">
        <f>IFERROR(FinancialData[[#This Row],[Expenses]]/FinancialData[[#This Row],[Revenue]],0)</f>
        <v>0.5314601352105538</v>
      </c>
      <c r="J76" s="3">
        <v>45391</v>
      </c>
      <c r="K76">
        <v>2024</v>
      </c>
    </row>
    <row r="77" spans="1:11" x14ac:dyDescent="0.35">
      <c r="A77" t="str">
        <f>TEXT(FinancialData[[#This Row],[Date]],"MMMM")</f>
        <v>April</v>
      </c>
      <c r="B77">
        <f>MONTH(FinancialData[[#This Row],[Date]])</f>
        <v>4</v>
      </c>
      <c r="C77" t="str">
        <f>"Q"&amp;ROUNDUP(MONTH(FinancialData[[#This Row],[Date]])/3,0)</f>
        <v>Q2</v>
      </c>
      <c r="D77" s="8" t="s">
        <v>325</v>
      </c>
      <c r="E77" s="14">
        <v>17772619</v>
      </c>
      <c r="F77" s="14">
        <v>3751148</v>
      </c>
      <c r="G77" s="14">
        <v>14021471</v>
      </c>
      <c r="H77" s="6">
        <f>IFERROR(FinancialData[[#This Row],[Profit]]/FinancialData[[#This Row],[Revenue]],0)</f>
        <v>0.78893667838150361</v>
      </c>
      <c r="I77" s="6">
        <f>IFERROR(FinancialData[[#This Row],[Expenses]]/FinancialData[[#This Row],[Revenue]],0)</f>
        <v>0.21106332161849642</v>
      </c>
      <c r="J77" s="3">
        <v>45390</v>
      </c>
      <c r="K77">
        <v>2024</v>
      </c>
    </row>
    <row r="78" spans="1:11" x14ac:dyDescent="0.35">
      <c r="A78" t="str">
        <f>TEXT(FinancialData[[#This Row],[Date]],"MMMM")</f>
        <v>April</v>
      </c>
      <c r="B78">
        <f>MONTH(FinancialData[[#This Row],[Date]])</f>
        <v>4</v>
      </c>
      <c r="C78" t="str">
        <f>"Q"&amp;ROUNDUP(MONTH(FinancialData[[#This Row],[Date]])/3,0)</f>
        <v>Q2</v>
      </c>
      <c r="D78" s="8" t="s">
        <v>325</v>
      </c>
      <c r="E78" s="14">
        <v>13395811</v>
      </c>
      <c r="F78" s="14">
        <v>8109917</v>
      </c>
      <c r="G78" s="14">
        <v>5285894</v>
      </c>
      <c r="H78" s="6">
        <f>IFERROR(FinancialData[[#This Row],[Profit]]/FinancialData[[#This Row],[Revenue]],0)</f>
        <v>0.39459305599339972</v>
      </c>
      <c r="I78" s="6">
        <f>IFERROR(FinancialData[[#This Row],[Expenses]]/FinancialData[[#This Row],[Revenue]],0)</f>
        <v>0.60540694400660022</v>
      </c>
      <c r="J78" s="3">
        <v>45754</v>
      </c>
      <c r="K78">
        <v>2025</v>
      </c>
    </row>
    <row r="79" spans="1:11" x14ac:dyDescent="0.35">
      <c r="A79" t="str">
        <f>TEXT(FinancialData[[#This Row],[Date]],"MMMM")</f>
        <v>April</v>
      </c>
      <c r="B79">
        <f>MONTH(FinancialData[[#This Row],[Date]])</f>
        <v>4</v>
      </c>
      <c r="C79" t="str">
        <f>"Q"&amp;ROUNDUP(MONTH(FinancialData[[#This Row],[Date]])/3,0)</f>
        <v>Q2</v>
      </c>
      <c r="D79" s="8" t="s">
        <v>325</v>
      </c>
      <c r="E79" s="14">
        <v>10655734</v>
      </c>
      <c r="F79" s="14">
        <v>2408508</v>
      </c>
      <c r="G79" s="14">
        <v>8247226</v>
      </c>
      <c r="H79" s="6">
        <f>IFERROR(FinancialData[[#This Row],[Profit]]/FinancialData[[#This Row],[Revenue]],0)</f>
        <v>0.77397070910366195</v>
      </c>
      <c r="I79" s="6">
        <f>IFERROR(FinancialData[[#This Row],[Expenses]]/FinancialData[[#This Row],[Revenue]],0)</f>
        <v>0.22602929089633805</v>
      </c>
      <c r="J79" s="3">
        <v>45396</v>
      </c>
      <c r="K79">
        <v>2024</v>
      </c>
    </row>
    <row r="80" spans="1:11" x14ac:dyDescent="0.35">
      <c r="A80" t="str">
        <f>TEXT(FinancialData[[#This Row],[Date]],"MMMM")</f>
        <v>April</v>
      </c>
      <c r="B80">
        <f>MONTH(FinancialData[[#This Row],[Date]])</f>
        <v>4</v>
      </c>
      <c r="C80" t="str">
        <f>"Q"&amp;ROUNDUP(MONTH(FinancialData[[#This Row],[Date]])/3,0)</f>
        <v>Q2</v>
      </c>
      <c r="D80" s="8" t="s">
        <v>11</v>
      </c>
      <c r="E80" s="14">
        <v>9869633</v>
      </c>
      <c r="F80" s="14">
        <v>8708702</v>
      </c>
      <c r="G80" s="14">
        <v>1160931</v>
      </c>
      <c r="H80" s="6">
        <f>IFERROR(FinancialData[[#This Row],[Profit]]/FinancialData[[#This Row],[Revenue]],0)</f>
        <v>0.11762656220347809</v>
      </c>
      <c r="I80" s="6">
        <f>IFERROR(FinancialData[[#This Row],[Expenses]]/FinancialData[[#This Row],[Revenue]],0)</f>
        <v>0.88237343779652189</v>
      </c>
      <c r="J80" s="3">
        <v>45387</v>
      </c>
      <c r="K80">
        <v>2024</v>
      </c>
    </row>
    <row r="81" spans="1:11" x14ac:dyDescent="0.35">
      <c r="A81" t="str">
        <f>TEXT(FinancialData[[#This Row],[Date]],"MMMM")</f>
        <v>April</v>
      </c>
      <c r="B81">
        <f>MONTH(FinancialData[[#This Row],[Date]])</f>
        <v>4</v>
      </c>
      <c r="C81" t="str">
        <f>"Q"&amp;ROUNDUP(MONTH(FinancialData[[#This Row],[Date]])/3,0)</f>
        <v>Q2</v>
      </c>
      <c r="D81" s="8" t="s">
        <v>11</v>
      </c>
      <c r="E81" s="14">
        <v>3115955</v>
      </c>
      <c r="F81" s="14">
        <v>2888010</v>
      </c>
      <c r="G81" s="14">
        <v>227945</v>
      </c>
      <c r="H81" s="6">
        <f>IFERROR(FinancialData[[#This Row],[Profit]]/FinancialData[[#This Row],[Revenue]],0)</f>
        <v>7.3154137335102717E-2</v>
      </c>
      <c r="I81" s="6">
        <f>IFERROR(FinancialData[[#This Row],[Expenses]]/FinancialData[[#This Row],[Revenue]],0)</f>
        <v>0.92684586266489732</v>
      </c>
      <c r="J81" s="3">
        <v>45395</v>
      </c>
      <c r="K81">
        <v>2024</v>
      </c>
    </row>
    <row r="82" spans="1:11" x14ac:dyDescent="0.35">
      <c r="A82" t="str">
        <f>TEXT(FinancialData[[#This Row],[Date]],"MMMM")</f>
        <v>April</v>
      </c>
      <c r="B82">
        <f>MONTH(FinancialData[[#This Row],[Date]])</f>
        <v>4</v>
      </c>
      <c r="C82" t="str">
        <f>"Q"&amp;ROUNDUP(MONTH(FinancialData[[#This Row],[Date]])/3,0)</f>
        <v>Q2</v>
      </c>
      <c r="D82" s="8" t="s">
        <v>325</v>
      </c>
      <c r="E82" s="14">
        <v>13395142</v>
      </c>
      <c r="F82" s="14">
        <v>3866714</v>
      </c>
      <c r="G82" s="14">
        <v>9528428</v>
      </c>
      <c r="H82" s="6">
        <f>IFERROR(FinancialData[[#This Row],[Profit]]/FinancialData[[#This Row],[Revenue]],0)</f>
        <v>0.71133460175338192</v>
      </c>
      <c r="I82" s="6">
        <f>IFERROR(FinancialData[[#This Row],[Expenses]]/FinancialData[[#This Row],[Revenue]],0)</f>
        <v>0.28866539824661808</v>
      </c>
      <c r="J82" s="3">
        <v>45762</v>
      </c>
      <c r="K82">
        <v>2025</v>
      </c>
    </row>
    <row r="83" spans="1:11" x14ac:dyDescent="0.35">
      <c r="A83" t="str">
        <f>TEXT(FinancialData[[#This Row],[Date]],"MMMM")</f>
        <v>April</v>
      </c>
      <c r="B83">
        <f>MONTH(FinancialData[[#This Row],[Date]])</f>
        <v>4</v>
      </c>
      <c r="C83" t="str">
        <f>"Q"&amp;ROUNDUP(MONTH(FinancialData[[#This Row],[Date]])/3,0)</f>
        <v>Q2</v>
      </c>
      <c r="D83" s="8" t="s">
        <v>11</v>
      </c>
      <c r="E83" s="14">
        <v>7684666</v>
      </c>
      <c r="F83" s="14">
        <v>5053533</v>
      </c>
      <c r="G83" s="14">
        <v>2631133</v>
      </c>
      <c r="H83" s="6">
        <f>IFERROR(FinancialData[[#This Row],[Profit]]/FinancialData[[#This Row],[Revenue]],0)</f>
        <v>0.34238742451526194</v>
      </c>
      <c r="I83" s="6">
        <f>IFERROR(FinancialData[[#This Row],[Expenses]]/FinancialData[[#This Row],[Revenue]],0)</f>
        <v>0.65761257548473806</v>
      </c>
      <c r="J83" s="3">
        <v>45390</v>
      </c>
      <c r="K83">
        <v>2024</v>
      </c>
    </row>
    <row r="84" spans="1:11" x14ac:dyDescent="0.35">
      <c r="A84" t="str">
        <f>TEXT(FinancialData[[#This Row],[Date]],"MMMM")</f>
        <v>May</v>
      </c>
      <c r="B84">
        <f>MONTH(FinancialData[[#This Row],[Date]])</f>
        <v>5</v>
      </c>
      <c r="C84" t="str">
        <f>"Q"&amp;ROUNDUP(MONTH(FinancialData[[#This Row],[Date]])/3,0)</f>
        <v>Q2</v>
      </c>
      <c r="D84" s="8" t="s">
        <v>325</v>
      </c>
      <c r="E84" s="14">
        <v>12433378</v>
      </c>
      <c r="F84" s="14">
        <v>3398230</v>
      </c>
      <c r="G84" s="14">
        <v>9035148</v>
      </c>
      <c r="H84" s="6">
        <f>IFERROR(FinancialData[[#This Row],[Profit]]/FinancialData[[#This Row],[Revenue]],0)</f>
        <v>0.72668489609179421</v>
      </c>
      <c r="I84" s="6">
        <f>IFERROR(FinancialData[[#This Row],[Expenses]]/FinancialData[[#This Row],[Revenue]],0)</f>
        <v>0.27331510390820579</v>
      </c>
      <c r="J84" s="3">
        <v>45787</v>
      </c>
      <c r="K84">
        <v>2025</v>
      </c>
    </row>
    <row r="85" spans="1:11" x14ac:dyDescent="0.35">
      <c r="A85" t="str">
        <f>TEXT(FinancialData[[#This Row],[Date]],"MMMM")</f>
        <v>May</v>
      </c>
      <c r="B85">
        <f>MONTH(FinancialData[[#This Row],[Date]])</f>
        <v>5</v>
      </c>
      <c r="C85" t="str">
        <f>"Q"&amp;ROUNDUP(MONTH(FinancialData[[#This Row],[Date]])/3,0)</f>
        <v>Q2</v>
      </c>
      <c r="D85" s="8" t="s">
        <v>11</v>
      </c>
      <c r="E85" s="14">
        <v>9869633</v>
      </c>
      <c r="F85" s="14">
        <v>8708702</v>
      </c>
      <c r="G85" s="14">
        <v>1160931</v>
      </c>
      <c r="H85" s="6">
        <f>IFERROR(FinancialData[[#This Row],[Profit]]/FinancialData[[#This Row],[Revenue]],0)</f>
        <v>0.11762656220347809</v>
      </c>
      <c r="I85" s="6">
        <f>IFERROR(FinancialData[[#This Row],[Expenses]]/FinancialData[[#This Row],[Revenue]],0)</f>
        <v>0.88237343779652189</v>
      </c>
      <c r="J85" s="3">
        <v>45418</v>
      </c>
      <c r="K85">
        <v>2024</v>
      </c>
    </row>
    <row r="86" spans="1:11" x14ac:dyDescent="0.35">
      <c r="A86" t="str">
        <f>TEXT(FinancialData[[#This Row],[Date]],"MMMM")</f>
        <v>May</v>
      </c>
      <c r="B86">
        <f>MONTH(FinancialData[[#This Row],[Date]])</f>
        <v>5</v>
      </c>
      <c r="C86" t="str">
        <f>"Q"&amp;ROUNDUP(MONTH(FinancialData[[#This Row],[Date]])/3,0)</f>
        <v>Q2</v>
      </c>
      <c r="D86" s="8" t="s">
        <v>11</v>
      </c>
      <c r="E86" s="14">
        <v>2093322</v>
      </c>
      <c r="F86" s="14">
        <v>846252</v>
      </c>
      <c r="G86" s="14">
        <v>1247070</v>
      </c>
      <c r="H86" s="6">
        <f>IFERROR(FinancialData[[#This Row],[Profit]]/FinancialData[[#This Row],[Revenue]],0)</f>
        <v>0.59573730176246176</v>
      </c>
      <c r="I86" s="6">
        <f>IFERROR(FinancialData[[#This Row],[Expenses]]/FinancialData[[#This Row],[Revenue]],0)</f>
        <v>0.40426269823753824</v>
      </c>
      <c r="J86" s="3">
        <v>45434</v>
      </c>
      <c r="K86">
        <v>2024</v>
      </c>
    </row>
    <row r="87" spans="1:11" x14ac:dyDescent="0.35">
      <c r="A87" t="str">
        <f>TEXT(FinancialData[[#This Row],[Date]],"MMMM")</f>
        <v>May</v>
      </c>
      <c r="B87">
        <f>MONTH(FinancialData[[#This Row],[Date]])</f>
        <v>5</v>
      </c>
      <c r="C87" t="str">
        <f>"Q"&amp;ROUNDUP(MONTH(FinancialData[[#This Row],[Date]])/3,0)</f>
        <v>Q2</v>
      </c>
      <c r="D87" s="8" t="s">
        <v>325</v>
      </c>
      <c r="E87" s="14">
        <v>13243123</v>
      </c>
      <c r="F87" s="14">
        <v>5468428</v>
      </c>
      <c r="G87" s="14">
        <v>7774695</v>
      </c>
      <c r="H87" s="6">
        <f>IFERROR(FinancialData[[#This Row],[Profit]]/FinancialData[[#This Row],[Revenue]],0)</f>
        <v>0.5870741365159865</v>
      </c>
      <c r="I87" s="6">
        <f>IFERROR(FinancialData[[#This Row],[Expenses]]/FinancialData[[#This Row],[Revenue]],0)</f>
        <v>0.41292586348401356</v>
      </c>
      <c r="J87" s="3">
        <v>45778</v>
      </c>
      <c r="K87">
        <v>2025</v>
      </c>
    </row>
    <row r="88" spans="1:11" x14ac:dyDescent="0.35">
      <c r="A88" t="str">
        <f>TEXT(FinancialData[[#This Row],[Date]],"MMMM")</f>
        <v>May</v>
      </c>
      <c r="B88">
        <f>MONTH(FinancialData[[#This Row],[Date]])</f>
        <v>5</v>
      </c>
      <c r="C88" t="str">
        <f>"Q"&amp;ROUNDUP(MONTH(FinancialData[[#This Row],[Date]])/3,0)</f>
        <v>Q2</v>
      </c>
      <c r="D88" s="8" t="s">
        <v>325</v>
      </c>
      <c r="E88" s="14">
        <v>9166769</v>
      </c>
      <c r="F88" s="14">
        <v>7049977</v>
      </c>
      <c r="G88" s="14">
        <v>2116792</v>
      </c>
      <c r="H88" s="6">
        <f>IFERROR(FinancialData[[#This Row],[Profit]]/FinancialData[[#This Row],[Revenue]],0)</f>
        <v>0.23092018572738116</v>
      </c>
      <c r="I88" s="6">
        <f>IFERROR(FinancialData[[#This Row],[Expenses]]/FinancialData[[#This Row],[Revenue]],0)</f>
        <v>0.76907981427261884</v>
      </c>
      <c r="J88" s="3">
        <v>45423</v>
      </c>
      <c r="K88">
        <v>2024</v>
      </c>
    </row>
    <row r="89" spans="1:11" x14ac:dyDescent="0.35">
      <c r="A89" t="str">
        <f>TEXT(FinancialData[[#This Row],[Date]],"MMMM")</f>
        <v>May</v>
      </c>
      <c r="B89">
        <f>MONTH(FinancialData[[#This Row],[Date]])</f>
        <v>5</v>
      </c>
      <c r="C89" t="str">
        <f>"Q"&amp;ROUNDUP(MONTH(FinancialData[[#This Row],[Date]])/3,0)</f>
        <v>Q2</v>
      </c>
      <c r="D89" s="8" t="s">
        <v>325</v>
      </c>
      <c r="E89" s="14">
        <v>9406634</v>
      </c>
      <c r="F89" s="14">
        <v>1310092</v>
      </c>
      <c r="G89" s="14">
        <v>8096542</v>
      </c>
      <c r="H89" s="6">
        <f>IFERROR(FinancialData[[#This Row],[Profit]]/FinancialData[[#This Row],[Revenue]],0)</f>
        <v>0.8607268019570018</v>
      </c>
      <c r="I89" s="6">
        <f>IFERROR(FinancialData[[#This Row],[Expenses]]/FinancialData[[#This Row],[Revenue]],0)</f>
        <v>0.13927319804299818</v>
      </c>
      <c r="J89" s="3">
        <v>45420</v>
      </c>
      <c r="K89">
        <v>2024</v>
      </c>
    </row>
    <row r="90" spans="1:11" x14ac:dyDescent="0.35">
      <c r="A90" t="str">
        <f>TEXT(FinancialData[[#This Row],[Date]],"MMMM")</f>
        <v>May</v>
      </c>
      <c r="B90">
        <f>MONTH(FinancialData[[#This Row],[Date]])</f>
        <v>5</v>
      </c>
      <c r="C90" t="str">
        <f>"Q"&amp;ROUNDUP(MONTH(FinancialData[[#This Row],[Date]])/3,0)</f>
        <v>Q2</v>
      </c>
      <c r="D90" s="8" t="s">
        <v>11</v>
      </c>
      <c r="E90" s="14">
        <v>7684666</v>
      </c>
      <c r="F90" s="14">
        <v>5053533</v>
      </c>
      <c r="G90" s="14">
        <v>2631133</v>
      </c>
      <c r="H90" s="6">
        <f>IFERROR(FinancialData[[#This Row],[Profit]]/FinancialData[[#This Row],[Revenue]],0)</f>
        <v>0.34238742451526194</v>
      </c>
      <c r="I90" s="6">
        <f>IFERROR(FinancialData[[#This Row],[Expenses]]/FinancialData[[#This Row],[Revenue]],0)</f>
        <v>0.65761257548473806</v>
      </c>
      <c r="J90" s="3">
        <v>45420</v>
      </c>
      <c r="K90">
        <v>2024</v>
      </c>
    </row>
    <row r="91" spans="1:11" x14ac:dyDescent="0.35">
      <c r="A91" t="str">
        <f>TEXT(FinancialData[[#This Row],[Date]],"MMMM")</f>
        <v>May</v>
      </c>
      <c r="B91">
        <f>MONTH(FinancialData[[#This Row],[Date]])</f>
        <v>5</v>
      </c>
      <c r="C91" t="str">
        <f>"Q"&amp;ROUNDUP(MONTH(FinancialData[[#This Row],[Date]])/3,0)</f>
        <v>Q2</v>
      </c>
      <c r="D91" s="8" t="s">
        <v>11</v>
      </c>
      <c r="E91" s="14">
        <v>5297234</v>
      </c>
      <c r="F91" s="14">
        <v>3596622</v>
      </c>
      <c r="G91" s="14">
        <v>1700612</v>
      </c>
      <c r="H91" s="6">
        <f>IFERROR(FinancialData[[#This Row],[Profit]]/FinancialData[[#This Row],[Revenue]],0)</f>
        <v>0.32103773403251584</v>
      </c>
      <c r="I91" s="6">
        <f>IFERROR(FinancialData[[#This Row],[Expenses]]/FinancialData[[#This Row],[Revenue]],0)</f>
        <v>0.67896226596748421</v>
      </c>
      <c r="J91" s="3">
        <v>45803</v>
      </c>
      <c r="K91">
        <v>2025</v>
      </c>
    </row>
    <row r="92" spans="1:11" x14ac:dyDescent="0.35">
      <c r="A92" t="str">
        <f>TEXT(FinancialData[[#This Row],[Date]],"MMMM")</f>
        <v>May</v>
      </c>
      <c r="B92">
        <f>MONTH(FinancialData[[#This Row],[Date]])</f>
        <v>5</v>
      </c>
      <c r="C92" t="str">
        <f>"Q"&amp;ROUNDUP(MONTH(FinancialData[[#This Row],[Date]])/3,0)</f>
        <v>Q2</v>
      </c>
      <c r="D92" s="8" t="s">
        <v>11</v>
      </c>
      <c r="E92" s="14">
        <v>6641746</v>
      </c>
      <c r="F92" s="14">
        <v>2466037</v>
      </c>
      <c r="G92" s="14">
        <v>4175709</v>
      </c>
      <c r="H92" s="6">
        <f>IFERROR(FinancialData[[#This Row],[Profit]]/FinancialData[[#This Row],[Revenue]],0)</f>
        <v>0.62870651783431641</v>
      </c>
      <c r="I92" s="6">
        <f>IFERROR(FinancialData[[#This Row],[Expenses]]/FinancialData[[#This Row],[Revenue]],0)</f>
        <v>0.37129348216568353</v>
      </c>
      <c r="J92" s="3">
        <v>45804</v>
      </c>
      <c r="K92">
        <v>2025</v>
      </c>
    </row>
    <row r="93" spans="1:11" x14ac:dyDescent="0.35">
      <c r="A93" t="str">
        <f>TEXT(FinancialData[[#This Row],[Date]],"MMMM")</f>
        <v>May</v>
      </c>
      <c r="B93">
        <f>MONTH(FinancialData[[#This Row],[Date]])</f>
        <v>5</v>
      </c>
      <c r="C93" t="str">
        <f>"Q"&amp;ROUNDUP(MONTH(FinancialData[[#This Row],[Date]])/3,0)</f>
        <v>Q2</v>
      </c>
      <c r="D93" s="8" t="s">
        <v>11</v>
      </c>
      <c r="E93" s="14">
        <v>6641746</v>
      </c>
      <c r="F93" s="14">
        <v>2466037</v>
      </c>
      <c r="G93" s="14">
        <v>4175709</v>
      </c>
      <c r="H93" s="6">
        <f>IFERROR(FinancialData[[#This Row],[Profit]]/FinancialData[[#This Row],[Revenue]],0)</f>
        <v>0.62870651783431641</v>
      </c>
      <c r="I93" s="6">
        <f>IFERROR(FinancialData[[#This Row],[Expenses]]/FinancialData[[#This Row],[Revenue]],0)</f>
        <v>0.37129348216568353</v>
      </c>
      <c r="J93" s="3">
        <v>45438</v>
      </c>
      <c r="K93">
        <v>2024</v>
      </c>
    </row>
    <row r="94" spans="1:11" x14ac:dyDescent="0.35">
      <c r="A94" t="str">
        <f>TEXT(FinancialData[[#This Row],[Date]],"MMMM")</f>
        <v>May</v>
      </c>
      <c r="B94">
        <f>MONTH(FinancialData[[#This Row],[Date]])</f>
        <v>5</v>
      </c>
      <c r="C94" t="str">
        <f>"Q"&amp;ROUNDUP(MONTH(FinancialData[[#This Row],[Date]])/3,0)</f>
        <v>Q2</v>
      </c>
      <c r="D94" s="8" t="s">
        <v>325</v>
      </c>
      <c r="E94" s="14">
        <v>10655734</v>
      </c>
      <c r="F94" s="14">
        <v>2408508</v>
      </c>
      <c r="G94" s="14">
        <v>8247226</v>
      </c>
      <c r="H94" s="6">
        <f>IFERROR(FinancialData[[#This Row],[Profit]]/FinancialData[[#This Row],[Revenue]],0)</f>
        <v>0.77397070910366195</v>
      </c>
      <c r="I94" s="6">
        <f>IFERROR(FinancialData[[#This Row],[Expenses]]/FinancialData[[#This Row],[Revenue]],0)</f>
        <v>0.22602929089633805</v>
      </c>
      <c r="J94" s="3">
        <v>45778</v>
      </c>
      <c r="K94">
        <v>2025</v>
      </c>
    </row>
    <row r="95" spans="1:11" x14ac:dyDescent="0.35">
      <c r="A95" t="str">
        <f>TEXT(FinancialData[[#This Row],[Date]],"MMMM")</f>
        <v>May</v>
      </c>
      <c r="B95">
        <f>MONTH(FinancialData[[#This Row],[Date]])</f>
        <v>5</v>
      </c>
      <c r="C95" t="str">
        <f>"Q"&amp;ROUNDUP(MONTH(FinancialData[[#This Row],[Date]])/3,0)</f>
        <v>Q2</v>
      </c>
      <c r="D95" s="8" t="s">
        <v>325</v>
      </c>
      <c r="E95" s="14">
        <v>8925622</v>
      </c>
      <c r="F95" s="14">
        <v>7859625</v>
      </c>
      <c r="G95" s="14">
        <v>1065997</v>
      </c>
      <c r="H95" s="6">
        <f>IFERROR(FinancialData[[#This Row],[Profit]]/FinancialData[[#This Row],[Revenue]],0)</f>
        <v>0.11943111639726621</v>
      </c>
      <c r="I95" s="6">
        <f>IFERROR(FinancialData[[#This Row],[Expenses]]/FinancialData[[#This Row],[Revenue]],0)</f>
        <v>0.88056888360273378</v>
      </c>
      <c r="J95" s="3">
        <v>45433</v>
      </c>
      <c r="K95">
        <v>2024</v>
      </c>
    </row>
    <row r="96" spans="1:11" x14ac:dyDescent="0.35">
      <c r="A96" t="str">
        <f>TEXT(FinancialData[[#This Row],[Date]],"MMMM")</f>
        <v>May</v>
      </c>
      <c r="B96">
        <f>MONTH(FinancialData[[#This Row],[Date]])</f>
        <v>5</v>
      </c>
      <c r="C96" t="str">
        <f>"Q"&amp;ROUNDUP(MONTH(FinancialData[[#This Row],[Date]])/3,0)</f>
        <v>Q2</v>
      </c>
      <c r="D96" s="8" t="s">
        <v>325</v>
      </c>
      <c r="E96" s="14">
        <v>10422659</v>
      </c>
      <c r="F96" s="14">
        <v>8777125</v>
      </c>
      <c r="G96" s="14">
        <v>1645534</v>
      </c>
      <c r="H96" s="6">
        <f>IFERROR(FinancialData[[#This Row],[Profit]]/FinancialData[[#This Row],[Revenue]],0)</f>
        <v>0.15788044106595064</v>
      </c>
      <c r="I96" s="6">
        <f>IFERROR(FinancialData[[#This Row],[Expenses]]/FinancialData[[#This Row],[Revenue]],0)</f>
        <v>0.84211955893404933</v>
      </c>
      <c r="J96" s="3">
        <v>45415</v>
      </c>
      <c r="K96">
        <v>2024</v>
      </c>
    </row>
    <row r="97" spans="1:11" x14ac:dyDescent="0.35">
      <c r="A97" t="str">
        <f>TEXT(FinancialData[[#This Row],[Date]],"MMMM")</f>
        <v>May</v>
      </c>
      <c r="B97">
        <f>MONTH(FinancialData[[#This Row],[Date]])</f>
        <v>5</v>
      </c>
      <c r="C97" t="str">
        <f>"Q"&amp;ROUNDUP(MONTH(FinancialData[[#This Row],[Date]])/3,0)</f>
        <v>Q2</v>
      </c>
      <c r="D97" s="8" t="s">
        <v>325</v>
      </c>
      <c r="E97" s="14">
        <v>6659621</v>
      </c>
      <c r="F97" s="14">
        <v>5718412</v>
      </c>
      <c r="G97" s="14">
        <v>941209</v>
      </c>
      <c r="H97" s="6">
        <f>IFERROR(FinancialData[[#This Row],[Profit]]/FinancialData[[#This Row],[Revenue]],0)</f>
        <v>0.14133071536653513</v>
      </c>
      <c r="I97" s="6">
        <f>IFERROR(FinancialData[[#This Row],[Expenses]]/FinancialData[[#This Row],[Revenue]],0)</f>
        <v>0.85866928463346492</v>
      </c>
      <c r="J97" s="3">
        <v>45434</v>
      </c>
      <c r="K97">
        <v>2024</v>
      </c>
    </row>
    <row r="98" spans="1:11" x14ac:dyDescent="0.35">
      <c r="A98" t="str">
        <f>TEXT(FinancialData[[#This Row],[Date]],"MMMM")</f>
        <v>May</v>
      </c>
      <c r="B98">
        <f>MONTH(FinancialData[[#This Row],[Date]])</f>
        <v>5</v>
      </c>
      <c r="C98" t="str">
        <f>"Q"&amp;ROUNDUP(MONTH(FinancialData[[#This Row],[Date]])/3,0)</f>
        <v>Q2</v>
      </c>
      <c r="D98" s="8" t="s">
        <v>325</v>
      </c>
      <c r="E98" s="14">
        <v>10655734</v>
      </c>
      <c r="F98" s="14">
        <v>2408508</v>
      </c>
      <c r="G98" s="14">
        <v>8247226</v>
      </c>
      <c r="H98" s="6">
        <f>IFERROR(FinancialData[[#This Row],[Profit]]/FinancialData[[#This Row],[Revenue]],0)</f>
        <v>0.77397070910366195</v>
      </c>
      <c r="I98" s="6">
        <f>IFERROR(FinancialData[[#This Row],[Expenses]]/FinancialData[[#This Row],[Revenue]],0)</f>
        <v>0.22602929089633805</v>
      </c>
      <c r="J98" s="3">
        <v>45427</v>
      </c>
      <c r="K98">
        <v>2024</v>
      </c>
    </row>
    <row r="99" spans="1:11" x14ac:dyDescent="0.35">
      <c r="A99" t="str">
        <f>TEXT(FinancialData[[#This Row],[Date]],"MMMM")</f>
        <v>May</v>
      </c>
      <c r="B99">
        <f>MONTH(FinancialData[[#This Row],[Date]])</f>
        <v>5</v>
      </c>
      <c r="C99" t="str">
        <f>"Q"&amp;ROUNDUP(MONTH(FinancialData[[#This Row],[Date]])/3,0)</f>
        <v>Q2</v>
      </c>
      <c r="D99" s="8" t="s">
        <v>325</v>
      </c>
      <c r="E99" s="14">
        <v>13243123</v>
      </c>
      <c r="F99" s="14">
        <v>5468428</v>
      </c>
      <c r="G99" s="14">
        <v>7774695</v>
      </c>
      <c r="H99" s="6">
        <f>IFERROR(FinancialData[[#This Row],[Profit]]/FinancialData[[#This Row],[Revenue]],0)</f>
        <v>0.5870741365159865</v>
      </c>
      <c r="I99" s="6">
        <f>IFERROR(FinancialData[[#This Row],[Expenses]]/FinancialData[[#This Row],[Revenue]],0)</f>
        <v>0.41292586348401356</v>
      </c>
      <c r="J99" s="3">
        <v>45783</v>
      </c>
      <c r="K99">
        <v>2025</v>
      </c>
    </row>
    <row r="100" spans="1:11" x14ac:dyDescent="0.35">
      <c r="A100" t="str">
        <f>TEXT(FinancialData[[#This Row],[Date]],"MMMM")</f>
        <v>May</v>
      </c>
      <c r="B100">
        <f>MONTH(FinancialData[[#This Row],[Date]])</f>
        <v>5</v>
      </c>
      <c r="C100" t="str">
        <f>"Q"&amp;ROUNDUP(MONTH(FinancialData[[#This Row],[Date]])/3,0)</f>
        <v>Q2</v>
      </c>
      <c r="D100" s="8" t="s">
        <v>325</v>
      </c>
      <c r="E100" s="14">
        <v>17772619</v>
      </c>
      <c r="F100" s="14">
        <v>3751148</v>
      </c>
      <c r="G100" s="14">
        <v>14021471</v>
      </c>
      <c r="H100" s="6">
        <f>IFERROR(FinancialData[[#This Row],[Profit]]/FinancialData[[#This Row],[Revenue]],0)</f>
        <v>0.78893667838150361</v>
      </c>
      <c r="I100" s="6">
        <f>IFERROR(FinancialData[[#This Row],[Expenses]]/FinancialData[[#This Row],[Revenue]],0)</f>
        <v>0.21106332161849642</v>
      </c>
      <c r="J100" s="3">
        <v>45797</v>
      </c>
      <c r="K100">
        <v>2025</v>
      </c>
    </row>
    <row r="101" spans="1:11" x14ac:dyDescent="0.35">
      <c r="A101" t="str">
        <f>TEXT(FinancialData[[#This Row],[Date]],"MMMM")</f>
        <v>May</v>
      </c>
      <c r="B101">
        <f>MONTH(FinancialData[[#This Row],[Date]])</f>
        <v>5</v>
      </c>
      <c r="C101" t="str">
        <f>"Q"&amp;ROUNDUP(MONTH(FinancialData[[#This Row],[Date]])/3,0)</f>
        <v>Q2</v>
      </c>
      <c r="D101" s="8" t="s">
        <v>11</v>
      </c>
      <c r="E101" s="14">
        <v>7684666</v>
      </c>
      <c r="F101" s="14">
        <v>5053533</v>
      </c>
      <c r="G101" s="14">
        <v>2631133</v>
      </c>
      <c r="H101" s="6">
        <f>IFERROR(FinancialData[[#This Row],[Profit]]/FinancialData[[#This Row],[Revenue]],0)</f>
        <v>0.34238742451526194</v>
      </c>
      <c r="I101" s="6">
        <f>IFERROR(FinancialData[[#This Row],[Expenses]]/FinancialData[[#This Row],[Revenue]],0)</f>
        <v>0.65761257548473806</v>
      </c>
      <c r="J101" s="3">
        <v>45792</v>
      </c>
      <c r="K101">
        <v>2025</v>
      </c>
    </row>
    <row r="102" spans="1:11" x14ac:dyDescent="0.35">
      <c r="A102" t="str">
        <f>TEXT(FinancialData[[#This Row],[Date]],"MMMM")</f>
        <v>June</v>
      </c>
      <c r="B102">
        <f>MONTH(FinancialData[[#This Row],[Date]])</f>
        <v>6</v>
      </c>
      <c r="C102" t="str">
        <f>"Q"&amp;ROUNDUP(MONTH(FinancialData[[#This Row],[Date]])/3,0)</f>
        <v>Q2</v>
      </c>
      <c r="D102" s="8" t="s">
        <v>11</v>
      </c>
      <c r="E102" s="14">
        <v>2093322</v>
      </c>
      <c r="F102" s="14">
        <v>846252</v>
      </c>
      <c r="G102" s="14">
        <v>1247070</v>
      </c>
      <c r="H102" s="6">
        <f>IFERROR(FinancialData[[#This Row],[Profit]]/FinancialData[[#This Row],[Revenue]],0)</f>
        <v>0.59573730176246176</v>
      </c>
      <c r="I102" s="6">
        <f>IFERROR(FinancialData[[#This Row],[Expenses]]/FinancialData[[#This Row],[Revenue]],0)</f>
        <v>0.40426269823753824</v>
      </c>
      <c r="J102" s="3">
        <v>45811</v>
      </c>
      <c r="K102">
        <v>2025</v>
      </c>
    </row>
    <row r="103" spans="1:11" x14ac:dyDescent="0.35">
      <c r="A103" t="str">
        <f>TEXT(FinancialData[[#This Row],[Date]],"MMMM")</f>
        <v>June</v>
      </c>
      <c r="B103">
        <f>MONTH(FinancialData[[#This Row],[Date]])</f>
        <v>6</v>
      </c>
      <c r="C103" t="str">
        <f>"Q"&amp;ROUNDUP(MONTH(FinancialData[[#This Row],[Date]])/3,0)</f>
        <v>Q2</v>
      </c>
      <c r="D103" s="8" t="s">
        <v>11</v>
      </c>
      <c r="E103" s="14">
        <v>3115955</v>
      </c>
      <c r="F103" s="14">
        <v>2888010</v>
      </c>
      <c r="G103" s="14">
        <v>227945</v>
      </c>
      <c r="H103" s="6">
        <f>IFERROR(FinancialData[[#This Row],[Profit]]/FinancialData[[#This Row],[Revenue]],0)</f>
        <v>7.3154137335102717E-2</v>
      </c>
      <c r="I103" s="6">
        <f>IFERROR(FinancialData[[#This Row],[Expenses]]/FinancialData[[#This Row],[Revenue]],0)</f>
        <v>0.92684586266489732</v>
      </c>
      <c r="J103" s="3">
        <v>45446</v>
      </c>
      <c r="K103">
        <v>2024</v>
      </c>
    </row>
    <row r="104" spans="1:11" x14ac:dyDescent="0.35">
      <c r="A104" t="str">
        <f>TEXT(FinancialData[[#This Row],[Date]],"MMMM")</f>
        <v>June</v>
      </c>
      <c r="B104">
        <f>MONTH(FinancialData[[#This Row],[Date]])</f>
        <v>6</v>
      </c>
      <c r="C104" t="str">
        <f>"Q"&amp;ROUNDUP(MONTH(FinancialData[[#This Row],[Date]])/3,0)</f>
        <v>Q2</v>
      </c>
      <c r="D104" s="8" t="s">
        <v>11</v>
      </c>
      <c r="E104" s="14">
        <v>10887632</v>
      </c>
      <c r="F104" s="14">
        <v>3314932</v>
      </c>
      <c r="G104" s="14">
        <v>7572700</v>
      </c>
      <c r="H104" s="6">
        <f>IFERROR(FinancialData[[#This Row],[Profit]]/FinancialData[[#This Row],[Revenue]],0)</f>
        <v>0.69553232511899743</v>
      </c>
      <c r="I104" s="6">
        <f>IFERROR(FinancialData[[#This Row],[Expenses]]/FinancialData[[#This Row],[Revenue]],0)</f>
        <v>0.30446767488100257</v>
      </c>
      <c r="J104" s="3">
        <v>45809</v>
      </c>
      <c r="K104">
        <v>2025</v>
      </c>
    </row>
    <row r="105" spans="1:11" x14ac:dyDescent="0.35">
      <c r="A105" t="str">
        <f>TEXT(FinancialData[[#This Row],[Date]],"MMMM")</f>
        <v>June</v>
      </c>
      <c r="B105">
        <f>MONTH(FinancialData[[#This Row],[Date]])</f>
        <v>6</v>
      </c>
      <c r="C105" t="str">
        <f>"Q"&amp;ROUNDUP(MONTH(FinancialData[[#This Row],[Date]])/3,0)</f>
        <v>Q2</v>
      </c>
      <c r="D105" s="8" t="s">
        <v>325</v>
      </c>
      <c r="E105" s="14">
        <v>13395142</v>
      </c>
      <c r="F105" s="14">
        <v>3866714</v>
      </c>
      <c r="G105" s="14">
        <v>9528428</v>
      </c>
      <c r="H105" s="6">
        <f>IFERROR(FinancialData[[#This Row],[Profit]]/FinancialData[[#This Row],[Revenue]],0)</f>
        <v>0.71133460175338192</v>
      </c>
      <c r="I105" s="6">
        <f>IFERROR(FinancialData[[#This Row],[Expenses]]/FinancialData[[#This Row],[Revenue]],0)</f>
        <v>0.28866539824661808</v>
      </c>
      <c r="J105" s="3">
        <v>45821</v>
      </c>
      <c r="K105">
        <v>2025</v>
      </c>
    </row>
    <row r="106" spans="1:11" x14ac:dyDescent="0.35">
      <c r="A106" t="str">
        <f>TEXT(FinancialData[[#This Row],[Date]],"MMMM")</f>
        <v>June</v>
      </c>
      <c r="B106">
        <f>MONTH(FinancialData[[#This Row],[Date]])</f>
        <v>6</v>
      </c>
      <c r="C106" t="str">
        <f>"Q"&amp;ROUNDUP(MONTH(FinancialData[[#This Row],[Date]])/3,0)</f>
        <v>Q2</v>
      </c>
      <c r="D106" s="8" t="s">
        <v>325</v>
      </c>
      <c r="E106" s="14">
        <v>13243123</v>
      </c>
      <c r="F106" s="14">
        <v>5468428</v>
      </c>
      <c r="G106" s="14">
        <v>7774695</v>
      </c>
      <c r="H106" s="6">
        <f>IFERROR(FinancialData[[#This Row],[Profit]]/FinancialData[[#This Row],[Revenue]],0)</f>
        <v>0.5870741365159865</v>
      </c>
      <c r="I106" s="6">
        <f>IFERROR(FinancialData[[#This Row],[Expenses]]/FinancialData[[#This Row],[Revenue]],0)</f>
        <v>0.41292586348401356</v>
      </c>
      <c r="J106" s="3">
        <v>45835</v>
      </c>
      <c r="K106">
        <v>2025</v>
      </c>
    </row>
    <row r="107" spans="1:11" x14ac:dyDescent="0.35">
      <c r="A107" t="str">
        <f>TEXT(FinancialData[[#This Row],[Date]],"MMMM")</f>
        <v>June</v>
      </c>
      <c r="B107">
        <f>MONTH(FinancialData[[#This Row],[Date]])</f>
        <v>6</v>
      </c>
      <c r="C107" t="str">
        <f>"Q"&amp;ROUNDUP(MONTH(FinancialData[[#This Row],[Date]])/3,0)</f>
        <v>Q2</v>
      </c>
      <c r="D107" s="8" t="s">
        <v>325</v>
      </c>
      <c r="E107" s="14">
        <v>6659621</v>
      </c>
      <c r="F107" s="14">
        <v>5718412</v>
      </c>
      <c r="G107" s="14">
        <v>941209</v>
      </c>
      <c r="H107" s="6">
        <f>IFERROR(FinancialData[[#This Row],[Profit]]/FinancialData[[#This Row],[Revenue]],0)</f>
        <v>0.14133071536653513</v>
      </c>
      <c r="I107" s="6">
        <f>IFERROR(FinancialData[[#This Row],[Expenses]]/FinancialData[[#This Row],[Revenue]],0)</f>
        <v>0.85866928463346492</v>
      </c>
      <c r="J107" s="3">
        <v>45446</v>
      </c>
      <c r="K107">
        <v>2024</v>
      </c>
    </row>
    <row r="108" spans="1:11" x14ac:dyDescent="0.35">
      <c r="A108" t="str">
        <f>TEXT(FinancialData[[#This Row],[Date]],"MMMM")</f>
        <v>June</v>
      </c>
      <c r="B108">
        <f>MONTH(FinancialData[[#This Row],[Date]])</f>
        <v>6</v>
      </c>
      <c r="C108" t="str">
        <f>"Q"&amp;ROUNDUP(MONTH(FinancialData[[#This Row],[Date]])/3,0)</f>
        <v>Q2</v>
      </c>
      <c r="D108" s="8" t="s">
        <v>325</v>
      </c>
      <c r="E108" s="14">
        <v>12433378</v>
      </c>
      <c r="F108" s="14">
        <v>3398230</v>
      </c>
      <c r="G108" s="14">
        <v>9035148</v>
      </c>
      <c r="H108" s="6">
        <f>IFERROR(FinancialData[[#This Row],[Profit]]/FinancialData[[#This Row],[Revenue]],0)</f>
        <v>0.72668489609179421</v>
      </c>
      <c r="I108" s="6">
        <f>IFERROR(FinancialData[[#This Row],[Expenses]]/FinancialData[[#This Row],[Revenue]],0)</f>
        <v>0.27331510390820579</v>
      </c>
      <c r="J108" s="3">
        <v>45455</v>
      </c>
      <c r="K108">
        <v>2024</v>
      </c>
    </row>
    <row r="109" spans="1:11" x14ac:dyDescent="0.35">
      <c r="A109" t="str">
        <f>TEXT(FinancialData[[#This Row],[Date]],"MMMM")</f>
        <v>June</v>
      </c>
      <c r="B109">
        <f>MONTH(FinancialData[[#This Row],[Date]])</f>
        <v>6</v>
      </c>
      <c r="C109" t="str">
        <f>"Q"&amp;ROUNDUP(MONTH(FinancialData[[#This Row],[Date]])/3,0)</f>
        <v>Q2</v>
      </c>
      <c r="D109" s="8" t="s">
        <v>325</v>
      </c>
      <c r="E109" s="14">
        <v>13395811</v>
      </c>
      <c r="F109" s="14">
        <v>8109917</v>
      </c>
      <c r="G109" s="14">
        <v>5285894</v>
      </c>
      <c r="H109" s="6">
        <f>IFERROR(FinancialData[[#This Row],[Profit]]/FinancialData[[#This Row],[Revenue]],0)</f>
        <v>0.39459305599339972</v>
      </c>
      <c r="I109" s="6">
        <f>IFERROR(FinancialData[[#This Row],[Expenses]]/FinancialData[[#This Row],[Revenue]],0)</f>
        <v>0.60540694400660022</v>
      </c>
      <c r="J109" s="3">
        <v>45833</v>
      </c>
      <c r="K109">
        <v>2025</v>
      </c>
    </row>
    <row r="110" spans="1:11" x14ac:dyDescent="0.35">
      <c r="A110" t="str">
        <f>TEXT(FinancialData[[#This Row],[Date]],"MMMM")</f>
        <v>June</v>
      </c>
      <c r="B110">
        <f>MONTH(FinancialData[[#This Row],[Date]])</f>
        <v>6</v>
      </c>
      <c r="C110" t="str">
        <f>"Q"&amp;ROUNDUP(MONTH(FinancialData[[#This Row],[Date]])/3,0)</f>
        <v>Q2</v>
      </c>
      <c r="D110" s="8" t="s">
        <v>325</v>
      </c>
      <c r="E110" s="14">
        <v>12433378</v>
      </c>
      <c r="F110" s="14">
        <v>3398230</v>
      </c>
      <c r="G110" s="14">
        <v>9035148</v>
      </c>
      <c r="H110" s="6">
        <f>IFERROR(FinancialData[[#This Row],[Profit]]/FinancialData[[#This Row],[Revenue]],0)</f>
        <v>0.72668489609179421</v>
      </c>
      <c r="I110" s="6">
        <f>IFERROR(FinancialData[[#This Row],[Expenses]]/FinancialData[[#This Row],[Revenue]],0)</f>
        <v>0.27331510390820579</v>
      </c>
      <c r="J110" s="3">
        <v>45457</v>
      </c>
      <c r="K110">
        <v>2024</v>
      </c>
    </row>
    <row r="111" spans="1:11" x14ac:dyDescent="0.35">
      <c r="A111" t="str">
        <f>TEXT(FinancialData[[#This Row],[Date]],"MMMM")</f>
        <v>June</v>
      </c>
      <c r="B111">
        <f>MONTH(FinancialData[[#This Row],[Date]])</f>
        <v>6</v>
      </c>
      <c r="C111" t="str">
        <f>"Q"&amp;ROUNDUP(MONTH(FinancialData[[#This Row],[Date]])/3,0)</f>
        <v>Q2</v>
      </c>
      <c r="D111" s="8" t="s">
        <v>11</v>
      </c>
      <c r="E111" s="14">
        <v>5297234</v>
      </c>
      <c r="F111" s="14">
        <v>3596622</v>
      </c>
      <c r="G111" s="14">
        <v>1700612</v>
      </c>
      <c r="H111" s="6">
        <f>IFERROR(FinancialData[[#This Row],[Profit]]/FinancialData[[#This Row],[Revenue]],0)</f>
        <v>0.32103773403251584</v>
      </c>
      <c r="I111" s="6">
        <f>IFERROR(FinancialData[[#This Row],[Expenses]]/FinancialData[[#This Row],[Revenue]],0)</f>
        <v>0.67896226596748421</v>
      </c>
      <c r="J111" s="3">
        <v>45453</v>
      </c>
      <c r="K111">
        <v>2024</v>
      </c>
    </row>
    <row r="112" spans="1:11" x14ac:dyDescent="0.35">
      <c r="A112" t="str">
        <f>TEXT(FinancialData[[#This Row],[Date]],"MMMM")</f>
        <v>June</v>
      </c>
      <c r="B112">
        <f>MONTH(FinancialData[[#This Row],[Date]])</f>
        <v>6</v>
      </c>
      <c r="C112" t="str">
        <f>"Q"&amp;ROUNDUP(MONTH(FinancialData[[#This Row],[Date]])/3,0)</f>
        <v>Q2</v>
      </c>
      <c r="D112" s="8" t="s">
        <v>325</v>
      </c>
      <c r="E112" s="14">
        <v>17772619</v>
      </c>
      <c r="F112" s="14">
        <v>3751148</v>
      </c>
      <c r="G112" s="14">
        <v>14021471</v>
      </c>
      <c r="H112" s="6">
        <f>IFERROR(FinancialData[[#This Row],[Profit]]/FinancialData[[#This Row],[Revenue]],0)</f>
        <v>0.78893667838150361</v>
      </c>
      <c r="I112" s="6">
        <f>IFERROR(FinancialData[[#This Row],[Expenses]]/FinancialData[[#This Row],[Revenue]],0)</f>
        <v>0.21106332161849642</v>
      </c>
      <c r="J112" s="3">
        <v>45832</v>
      </c>
      <c r="K112">
        <v>2025</v>
      </c>
    </row>
    <row r="113" spans="1:11" x14ac:dyDescent="0.35">
      <c r="A113" t="str">
        <f>TEXT(FinancialData[[#This Row],[Date]],"MMMM")</f>
        <v>June</v>
      </c>
      <c r="B113">
        <f>MONTH(FinancialData[[#This Row],[Date]])</f>
        <v>6</v>
      </c>
      <c r="C113" t="str">
        <f>"Q"&amp;ROUNDUP(MONTH(FinancialData[[#This Row],[Date]])/3,0)</f>
        <v>Q2</v>
      </c>
      <c r="D113" s="8" t="s">
        <v>325</v>
      </c>
      <c r="E113" s="14">
        <v>10422659</v>
      </c>
      <c r="F113" s="14">
        <v>8777125</v>
      </c>
      <c r="G113" s="14">
        <v>1645534</v>
      </c>
      <c r="H113" s="6">
        <f>IFERROR(FinancialData[[#This Row],[Profit]]/FinancialData[[#This Row],[Revenue]],0)</f>
        <v>0.15788044106595064</v>
      </c>
      <c r="I113" s="6">
        <f>IFERROR(FinancialData[[#This Row],[Expenses]]/FinancialData[[#This Row],[Revenue]],0)</f>
        <v>0.84211955893404933</v>
      </c>
      <c r="J113" s="3">
        <v>45837</v>
      </c>
      <c r="K113">
        <v>2025</v>
      </c>
    </row>
    <row r="114" spans="1:11" x14ac:dyDescent="0.35">
      <c r="A114" t="str">
        <f>TEXT(FinancialData[[#This Row],[Date]],"MMMM")</f>
        <v>June</v>
      </c>
      <c r="B114">
        <f>MONTH(FinancialData[[#This Row],[Date]])</f>
        <v>6</v>
      </c>
      <c r="C114" t="str">
        <f>"Q"&amp;ROUNDUP(MONTH(FinancialData[[#This Row],[Date]])/3,0)</f>
        <v>Q2</v>
      </c>
      <c r="D114" s="8" t="s">
        <v>325</v>
      </c>
      <c r="E114" s="14">
        <v>8925622</v>
      </c>
      <c r="F114" s="14">
        <v>7859625</v>
      </c>
      <c r="G114" s="14">
        <v>1065997</v>
      </c>
      <c r="H114" s="6">
        <f>IFERROR(FinancialData[[#This Row],[Profit]]/FinancialData[[#This Row],[Revenue]],0)</f>
        <v>0.11943111639726621</v>
      </c>
      <c r="I114" s="6">
        <f>IFERROR(FinancialData[[#This Row],[Expenses]]/FinancialData[[#This Row],[Revenue]],0)</f>
        <v>0.88056888360273378</v>
      </c>
      <c r="J114" s="3">
        <v>45815</v>
      </c>
      <c r="K114">
        <v>2025</v>
      </c>
    </row>
    <row r="115" spans="1:11" x14ac:dyDescent="0.35">
      <c r="A115" t="str">
        <f>TEXT(FinancialData[[#This Row],[Date]],"MMMM")</f>
        <v>June</v>
      </c>
      <c r="B115">
        <f>MONTH(FinancialData[[#This Row],[Date]])</f>
        <v>6</v>
      </c>
      <c r="C115" t="str">
        <f>"Q"&amp;ROUNDUP(MONTH(FinancialData[[#This Row],[Date]])/3,0)</f>
        <v>Q2</v>
      </c>
      <c r="D115" s="8" t="s">
        <v>325</v>
      </c>
      <c r="E115" s="14">
        <v>8925622</v>
      </c>
      <c r="F115" s="14">
        <v>7859625</v>
      </c>
      <c r="G115" s="14">
        <v>1065997</v>
      </c>
      <c r="H115" s="6">
        <f>IFERROR(FinancialData[[#This Row],[Profit]]/FinancialData[[#This Row],[Revenue]],0)</f>
        <v>0.11943111639726621</v>
      </c>
      <c r="I115" s="6">
        <f>IFERROR(FinancialData[[#This Row],[Expenses]]/FinancialData[[#This Row],[Revenue]],0)</f>
        <v>0.88056888360273378</v>
      </c>
      <c r="J115" s="3">
        <v>45461</v>
      </c>
      <c r="K115">
        <v>2024</v>
      </c>
    </row>
    <row r="116" spans="1:11" x14ac:dyDescent="0.35">
      <c r="A116" t="str">
        <f>TEXT(FinancialData[[#This Row],[Date]],"MMMM")</f>
        <v>June</v>
      </c>
      <c r="B116">
        <f>MONTH(FinancialData[[#This Row],[Date]])</f>
        <v>6</v>
      </c>
      <c r="C116" t="str">
        <f>"Q"&amp;ROUNDUP(MONTH(FinancialData[[#This Row],[Date]])/3,0)</f>
        <v>Q2</v>
      </c>
      <c r="D116" s="8" t="s">
        <v>11</v>
      </c>
      <c r="E116" s="14">
        <v>9869633</v>
      </c>
      <c r="F116" s="14">
        <v>8708702</v>
      </c>
      <c r="G116" s="14">
        <v>1160931</v>
      </c>
      <c r="H116" s="6">
        <f>IFERROR(FinancialData[[#This Row],[Profit]]/FinancialData[[#This Row],[Revenue]],0)</f>
        <v>0.11762656220347809</v>
      </c>
      <c r="I116" s="6">
        <f>IFERROR(FinancialData[[#This Row],[Expenses]]/FinancialData[[#This Row],[Revenue]],0)</f>
        <v>0.88237343779652189</v>
      </c>
      <c r="J116" s="3">
        <v>45467</v>
      </c>
      <c r="K116">
        <v>2024</v>
      </c>
    </row>
    <row r="117" spans="1:11" x14ac:dyDescent="0.35">
      <c r="A117" t="str">
        <f>TEXT(FinancialData[[#This Row],[Date]],"MMMM")</f>
        <v>June</v>
      </c>
      <c r="B117">
        <f>MONTH(FinancialData[[#This Row],[Date]])</f>
        <v>6</v>
      </c>
      <c r="C117" t="str">
        <f>"Q"&amp;ROUNDUP(MONTH(FinancialData[[#This Row],[Date]])/3,0)</f>
        <v>Q2</v>
      </c>
      <c r="D117" s="8" t="s">
        <v>325</v>
      </c>
      <c r="E117" s="14">
        <v>17872796</v>
      </c>
      <c r="F117" s="14">
        <v>4065021</v>
      </c>
      <c r="G117" s="14">
        <v>13807775</v>
      </c>
      <c r="H117" s="6">
        <f>IFERROR(FinancialData[[#This Row],[Profit]]/FinancialData[[#This Row],[Revenue]],0)</f>
        <v>0.77255819402851122</v>
      </c>
      <c r="I117" s="6">
        <f>IFERROR(FinancialData[[#This Row],[Expenses]]/FinancialData[[#This Row],[Revenue]],0)</f>
        <v>0.22744180597148875</v>
      </c>
      <c r="J117" s="3">
        <v>45818</v>
      </c>
      <c r="K117">
        <v>2025</v>
      </c>
    </row>
    <row r="118" spans="1:11" x14ac:dyDescent="0.35">
      <c r="A118" t="str">
        <f>TEXT(FinancialData[[#This Row],[Date]],"MMMM")</f>
        <v>June</v>
      </c>
      <c r="B118">
        <f>MONTH(FinancialData[[#This Row],[Date]])</f>
        <v>6</v>
      </c>
      <c r="C118" t="str">
        <f>"Q"&amp;ROUNDUP(MONTH(FinancialData[[#This Row],[Date]])/3,0)</f>
        <v>Q2</v>
      </c>
      <c r="D118" s="8" t="s">
        <v>325</v>
      </c>
      <c r="E118" s="14">
        <v>6659621</v>
      </c>
      <c r="F118" s="14">
        <v>5718412</v>
      </c>
      <c r="G118" s="14">
        <v>941209</v>
      </c>
      <c r="H118" s="6">
        <f>IFERROR(FinancialData[[#This Row],[Profit]]/FinancialData[[#This Row],[Revenue]],0)</f>
        <v>0.14133071536653513</v>
      </c>
      <c r="I118" s="6">
        <f>IFERROR(FinancialData[[#This Row],[Expenses]]/FinancialData[[#This Row],[Revenue]],0)</f>
        <v>0.85866928463346492</v>
      </c>
      <c r="J118" s="3">
        <v>45448</v>
      </c>
      <c r="K118">
        <v>2024</v>
      </c>
    </row>
    <row r="119" spans="1:11" x14ac:dyDescent="0.35">
      <c r="A119" t="str">
        <f>TEXT(FinancialData[[#This Row],[Date]],"MMMM")</f>
        <v>June</v>
      </c>
      <c r="B119">
        <f>MONTH(FinancialData[[#This Row],[Date]])</f>
        <v>6</v>
      </c>
      <c r="C119" t="str">
        <f>"Q"&amp;ROUNDUP(MONTH(FinancialData[[#This Row],[Date]])/3,0)</f>
        <v>Q2</v>
      </c>
      <c r="D119" s="8" t="s">
        <v>11</v>
      </c>
      <c r="E119" s="14">
        <v>7713630</v>
      </c>
      <c r="F119" s="14">
        <v>1832250</v>
      </c>
      <c r="G119" s="14">
        <v>5881380</v>
      </c>
      <c r="H119" s="6">
        <f>IFERROR(FinancialData[[#This Row],[Profit]]/FinancialData[[#This Row],[Revenue]],0)</f>
        <v>0.7624659207143718</v>
      </c>
      <c r="I119" s="6">
        <f>IFERROR(FinancialData[[#This Row],[Expenses]]/FinancialData[[#This Row],[Revenue]],0)</f>
        <v>0.23753407928562817</v>
      </c>
      <c r="J119" s="3">
        <v>45459</v>
      </c>
      <c r="K119">
        <v>2024</v>
      </c>
    </row>
    <row r="120" spans="1:11" x14ac:dyDescent="0.35">
      <c r="A120" t="str">
        <f>TEXT(FinancialData[[#This Row],[Date]],"MMMM")</f>
        <v>June</v>
      </c>
      <c r="B120">
        <f>MONTH(FinancialData[[#This Row],[Date]])</f>
        <v>6</v>
      </c>
      <c r="C120" t="str">
        <f>"Q"&amp;ROUNDUP(MONTH(FinancialData[[#This Row],[Date]])/3,0)</f>
        <v>Q2</v>
      </c>
      <c r="D120" s="8" t="s">
        <v>11</v>
      </c>
      <c r="E120" s="14">
        <v>10887632</v>
      </c>
      <c r="F120" s="14">
        <v>3314932</v>
      </c>
      <c r="G120" s="14">
        <v>7572700</v>
      </c>
      <c r="H120" s="6">
        <f>IFERROR(FinancialData[[#This Row],[Profit]]/FinancialData[[#This Row],[Revenue]],0)</f>
        <v>0.69553232511899743</v>
      </c>
      <c r="I120" s="6">
        <f>IFERROR(FinancialData[[#This Row],[Expenses]]/FinancialData[[#This Row],[Revenue]],0)</f>
        <v>0.30446767488100257</v>
      </c>
      <c r="J120" s="3">
        <v>45455</v>
      </c>
      <c r="K120">
        <v>2024</v>
      </c>
    </row>
    <row r="121" spans="1:11" x14ac:dyDescent="0.35">
      <c r="A121" t="str">
        <f>TEXT(FinancialData[[#This Row],[Date]],"MMMM")</f>
        <v>June</v>
      </c>
      <c r="B121">
        <f>MONTH(FinancialData[[#This Row],[Date]])</f>
        <v>6</v>
      </c>
      <c r="C121" t="str">
        <f>"Q"&amp;ROUNDUP(MONTH(FinancialData[[#This Row],[Date]])/3,0)</f>
        <v>Q2</v>
      </c>
      <c r="D121" s="8" t="s">
        <v>325</v>
      </c>
      <c r="E121" s="14">
        <v>10422659</v>
      </c>
      <c r="F121" s="14">
        <v>8777125</v>
      </c>
      <c r="G121" s="14">
        <v>1645534</v>
      </c>
      <c r="H121" s="6">
        <f>IFERROR(FinancialData[[#This Row],[Profit]]/FinancialData[[#This Row],[Revenue]],0)</f>
        <v>0.15788044106595064</v>
      </c>
      <c r="I121" s="6">
        <f>IFERROR(FinancialData[[#This Row],[Expenses]]/FinancialData[[#This Row],[Revenue]],0)</f>
        <v>0.84211955893404933</v>
      </c>
      <c r="J121" s="3">
        <v>45458</v>
      </c>
      <c r="K121">
        <v>2024</v>
      </c>
    </row>
    <row r="122" spans="1:11" x14ac:dyDescent="0.35">
      <c r="A122" t="str">
        <f>TEXT(FinancialData[[#This Row],[Date]],"MMMM")</f>
        <v>June</v>
      </c>
      <c r="B122">
        <f>MONTH(FinancialData[[#This Row],[Date]])</f>
        <v>6</v>
      </c>
      <c r="C122" t="str">
        <f>"Q"&amp;ROUNDUP(MONTH(FinancialData[[#This Row],[Date]])/3,0)</f>
        <v>Q2</v>
      </c>
      <c r="D122" s="8" t="s">
        <v>11</v>
      </c>
      <c r="E122" s="14">
        <v>5297234</v>
      </c>
      <c r="F122" s="14">
        <v>3596622</v>
      </c>
      <c r="G122" s="14">
        <v>1700612</v>
      </c>
      <c r="H122" s="6">
        <f>IFERROR(FinancialData[[#This Row],[Profit]]/FinancialData[[#This Row],[Revenue]],0)</f>
        <v>0.32103773403251584</v>
      </c>
      <c r="I122" s="6">
        <f>IFERROR(FinancialData[[#This Row],[Expenses]]/FinancialData[[#This Row],[Revenue]],0)</f>
        <v>0.67896226596748421</v>
      </c>
      <c r="J122" s="3">
        <v>45838</v>
      </c>
      <c r="K122">
        <v>2025</v>
      </c>
    </row>
    <row r="123" spans="1:11" x14ac:dyDescent="0.35">
      <c r="A123" t="str">
        <f>TEXT(FinancialData[[#This Row],[Date]],"MMMM")</f>
        <v>July</v>
      </c>
      <c r="B123">
        <f>MONTH(FinancialData[[#This Row],[Date]])</f>
        <v>7</v>
      </c>
      <c r="C123" t="str">
        <f>"Q"&amp;ROUNDUP(MONTH(FinancialData[[#This Row],[Date]])/3,0)</f>
        <v>Q3</v>
      </c>
      <c r="D123" s="8" t="s">
        <v>11</v>
      </c>
      <c r="E123" s="14">
        <v>7409657</v>
      </c>
      <c r="F123" s="14">
        <v>6271336</v>
      </c>
      <c r="G123" s="14">
        <v>1138321</v>
      </c>
      <c r="H123" s="6">
        <f>IFERROR(FinancialData[[#This Row],[Profit]]/FinancialData[[#This Row],[Revenue]],0)</f>
        <v>0.15362667934561614</v>
      </c>
      <c r="I123" s="6">
        <f>IFERROR(FinancialData[[#This Row],[Expenses]]/FinancialData[[#This Row],[Revenue]],0)</f>
        <v>0.84637332065438386</v>
      </c>
      <c r="J123" s="3">
        <v>45488</v>
      </c>
      <c r="K123">
        <v>2024</v>
      </c>
    </row>
    <row r="124" spans="1:11" x14ac:dyDescent="0.35">
      <c r="A124" t="str">
        <f>TEXT(FinancialData[[#This Row],[Date]],"MMMM")</f>
        <v>July</v>
      </c>
      <c r="B124">
        <f>MONTH(FinancialData[[#This Row],[Date]])</f>
        <v>7</v>
      </c>
      <c r="C124" t="str">
        <f>"Q"&amp;ROUNDUP(MONTH(FinancialData[[#This Row],[Date]])/3,0)</f>
        <v>Q3</v>
      </c>
      <c r="D124" s="8" t="s">
        <v>325</v>
      </c>
      <c r="E124" s="14">
        <v>6659621</v>
      </c>
      <c r="F124" s="14">
        <v>5718412</v>
      </c>
      <c r="G124" s="14">
        <v>941209</v>
      </c>
      <c r="H124" s="6">
        <f>IFERROR(FinancialData[[#This Row],[Profit]]/FinancialData[[#This Row],[Revenue]],0)</f>
        <v>0.14133071536653513</v>
      </c>
      <c r="I124" s="6">
        <f>IFERROR(FinancialData[[#This Row],[Expenses]]/FinancialData[[#This Row],[Revenue]],0)</f>
        <v>0.85866928463346492</v>
      </c>
      <c r="J124" s="3">
        <v>45844</v>
      </c>
      <c r="K124">
        <v>2025</v>
      </c>
    </row>
    <row r="125" spans="1:11" x14ac:dyDescent="0.35">
      <c r="A125" t="str">
        <f>TEXT(FinancialData[[#This Row],[Date]],"MMMM")</f>
        <v>July</v>
      </c>
      <c r="B125">
        <f>MONTH(FinancialData[[#This Row],[Date]])</f>
        <v>7</v>
      </c>
      <c r="C125" t="str">
        <f>"Q"&amp;ROUNDUP(MONTH(FinancialData[[#This Row],[Date]])/3,0)</f>
        <v>Q3</v>
      </c>
      <c r="D125" s="8" t="s">
        <v>325</v>
      </c>
      <c r="E125" s="14">
        <v>12433378</v>
      </c>
      <c r="F125" s="14">
        <v>3398230</v>
      </c>
      <c r="G125" s="14">
        <v>9035148</v>
      </c>
      <c r="H125" s="6">
        <f>IFERROR(FinancialData[[#This Row],[Profit]]/FinancialData[[#This Row],[Revenue]],0)</f>
        <v>0.72668489609179421</v>
      </c>
      <c r="I125" s="6">
        <f>IFERROR(FinancialData[[#This Row],[Expenses]]/FinancialData[[#This Row],[Revenue]],0)</f>
        <v>0.27331510390820579</v>
      </c>
      <c r="J125" s="3">
        <v>45854</v>
      </c>
      <c r="K125">
        <v>2025</v>
      </c>
    </row>
    <row r="126" spans="1:11" x14ac:dyDescent="0.35">
      <c r="A126" t="str">
        <f>TEXT(FinancialData[[#This Row],[Date]],"MMMM")</f>
        <v>July</v>
      </c>
      <c r="B126">
        <f>MONTH(FinancialData[[#This Row],[Date]])</f>
        <v>7</v>
      </c>
      <c r="C126" t="str">
        <f>"Q"&amp;ROUNDUP(MONTH(FinancialData[[#This Row],[Date]])/3,0)</f>
        <v>Q3</v>
      </c>
      <c r="D126" s="8" t="s">
        <v>11</v>
      </c>
      <c r="E126" s="14">
        <v>3115955</v>
      </c>
      <c r="F126" s="14">
        <v>2888010</v>
      </c>
      <c r="G126" s="14">
        <v>227945</v>
      </c>
      <c r="H126" s="6">
        <f>IFERROR(FinancialData[[#This Row],[Profit]]/FinancialData[[#This Row],[Revenue]],0)</f>
        <v>7.3154137335102717E-2</v>
      </c>
      <c r="I126" s="6">
        <f>IFERROR(FinancialData[[#This Row],[Expenses]]/FinancialData[[#This Row],[Revenue]],0)</f>
        <v>0.92684586266489732</v>
      </c>
      <c r="J126" s="3">
        <v>45866</v>
      </c>
      <c r="K126">
        <v>2025</v>
      </c>
    </row>
    <row r="127" spans="1:11" x14ac:dyDescent="0.35">
      <c r="A127" t="str">
        <f>TEXT(FinancialData[[#This Row],[Date]],"MMMM")</f>
        <v>July</v>
      </c>
      <c r="B127">
        <f>MONTH(FinancialData[[#This Row],[Date]])</f>
        <v>7</v>
      </c>
      <c r="C127" t="str">
        <f>"Q"&amp;ROUNDUP(MONTH(FinancialData[[#This Row],[Date]])/3,0)</f>
        <v>Q3</v>
      </c>
      <c r="D127" s="8" t="s">
        <v>325</v>
      </c>
      <c r="E127" s="14">
        <v>13395142</v>
      </c>
      <c r="F127" s="14">
        <v>3866714</v>
      </c>
      <c r="G127" s="14">
        <v>9528428</v>
      </c>
      <c r="H127" s="6">
        <f>IFERROR(FinancialData[[#This Row],[Profit]]/FinancialData[[#This Row],[Revenue]],0)</f>
        <v>0.71133460175338192</v>
      </c>
      <c r="I127" s="6">
        <f>IFERROR(FinancialData[[#This Row],[Expenses]]/FinancialData[[#This Row],[Revenue]],0)</f>
        <v>0.28866539824661808</v>
      </c>
      <c r="J127" s="3">
        <v>45843</v>
      </c>
      <c r="K127">
        <v>2025</v>
      </c>
    </row>
    <row r="128" spans="1:11" x14ac:dyDescent="0.35">
      <c r="A128" t="str">
        <f>TEXT(FinancialData[[#This Row],[Date]],"MMMM")</f>
        <v>July</v>
      </c>
      <c r="B128">
        <f>MONTH(FinancialData[[#This Row],[Date]])</f>
        <v>7</v>
      </c>
      <c r="C128" t="str">
        <f>"Q"&amp;ROUNDUP(MONTH(FinancialData[[#This Row],[Date]])/3,0)</f>
        <v>Q3</v>
      </c>
      <c r="D128" s="8" t="s">
        <v>325</v>
      </c>
      <c r="E128" s="14">
        <v>9166769</v>
      </c>
      <c r="F128" s="14">
        <v>7049977</v>
      </c>
      <c r="G128" s="14">
        <v>2116792</v>
      </c>
      <c r="H128" s="6">
        <f>IFERROR(FinancialData[[#This Row],[Profit]]/FinancialData[[#This Row],[Revenue]],0)</f>
        <v>0.23092018572738116</v>
      </c>
      <c r="I128" s="6">
        <f>IFERROR(FinancialData[[#This Row],[Expenses]]/FinancialData[[#This Row],[Revenue]],0)</f>
        <v>0.76907981427261884</v>
      </c>
      <c r="J128" s="3">
        <v>45495</v>
      </c>
      <c r="K128">
        <v>2024</v>
      </c>
    </row>
    <row r="129" spans="1:11" x14ac:dyDescent="0.35">
      <c r="A129" t="str">
        <f>TEXT(FinancialData[[#This Row],[Date]],"MMMM")</f>
        <v>July</v>
      </c>
      <c r="B129">
        <f>MONTH(FinancialData[[#This Row],[Date]])</f>
        <v>7</v>
      </c>
      <c r="C129" t="str">
        <f>"Q"&amp;ROUNDUP(MONTH(FinancialData[[#This Row],[Date]])/3,0)</f>
        <v>Q3</v>
      </c>
      <c r="D129" s="8" t="s">
        <v>11</v>
      </c>
      <c r="E129" s="14">
        <v>5297234</v>
      </c>
      <c r="F129" s="14">
        <v>3596622</v>
      </c>
      <c r="G129" s="14">
        <v>1700612</v>
      </c>
      <c r="H129" s="6">
        <f>IFERROR(FinancialData[[#This Row],[Profit]]/FinancialData[[#This Row],[Revenue]],0)</f>
        <v>0.32103773403251584</v>
      </c>
      <c r="I129" s="6">
        <f>IFERROR(FinancialData[[#This Row],[Expenses]]/FinancialData[[#This Row],[Revenue]],0)</f>
        <v>0.67896226596748421</v>
      </c>
      <c r="J129" s="3">
        <v>45850</v>
      </c>
      <c r="K129">
        <v>2025</v>
      </c>
    </row>
    <row r="130" spans="1:11" x14ac:dyDescent="0.35">
      <c r="A130" t="str">
        <f>TEXT(FinancialData[[#This Row],[Date]],"MMMM")</f>
        <v>July</v>
      </c>
      <c r="B130">
        <f>MONTH(FinancialData[[#This Row],[Date]])</f>
        <v>7</v>
      </c>
      <c r="C130" t="str">
        <f>"Q"&amp;ROUNDUP(MONTH(FinancialData[[#This Row],[Date]])/3,0)</f>
        <v>Q3</v>
      </c>
      <c r="D130" s="8" t="s">
        <v>325</v>
      </c>
      <c r="E130" s="14">
        <v>8925622</v>
      </c>
      <c r="F130" s="14">
        <v>7859625</v>
      </c>
      <c r="G130" s="14">
        <v>1065997</v>
      </c>
      <c r="H130" s="6">
        <f>IFERROR(FinancialData[[#This Row],[Profit]]/FinancialData[[#This Row],[Revenue]],0)</f>
        <v>0.11943111639726621</v>
      </c>
      <c r="I130" s="6">
        <f>IFERROR(FinancialData[[#This Row],[Expenses]]/FinancialData[[#This Row],[Revenue]],0)</f>
        <v>0.88056888360273378</v>
      </c>
      <c r="J130" s="3">
        <v>45850</v>
      </c>
      <c r="K130">
        <v>2025</v>
      </c>
    </row>
    <row r="131" spans="1:11" x14ac:dyDescent="0.35">
      <c r="A131" t="str">
        <f>TEXT(FinancialData[[#This Row],[Date]],"MMMM")</f>
        <v>July</v>
      </c>
      <c r="B131">
        <f>MONTH(FinancialData[[#This Row],[Date]])</f>
        <v>7</v>
      </c>
      <c r="C131" t="str">
        <f>"Q"&amp;ROUNDUP(MONTH(FinancialData[[#This Row],[Date]])/3,0)</f>
        <v>Q3</v>
      </c>
      <c r="D131" s="8" t="s">
        <v>325</v>
      </c>
      <c r="E131" s="14">
        <v>6659621</v>
      </c>
      <c r="F131" s="14">
        <v>5718412</v>
      </c>
      <c r="G131" s="14">
        <v>941209</v>
      </c>
      <c r="H131" s="6">
        <f>IFERROR(FinancialData[[#This Row],[Profit]]/FinancialData[[#This Row],[Revenue]],0)</f>
        <v>0.14133071536653513</v>
      </c>
      <c r="I131" s="6">
        <f>IFERROR(FinancialData[[#This Row],[Expenses]]/FinancialData[[#This Row],[Revenue]],0)</f>
        <v>0.85866928463346492</v>
      </c>
      <c r="J131" s="3">
        <v>45857</v>
      </c>
      <c r="K131">
        <v>2025</v>
      </c>
    </row>
    <row r="132" spans="1:11" x14ac:dyDescent="0.35">
      <c r="A132" t="str">
        <f>TEXT(FinancialData[[#This Row],[Date]],"MMMM")</f>
        <v>July</v>
      </c>
      <c r="B132">
        <f>MONTH(FinancialData[[#This Row],[Date]])</f>
        <v>7</v>
      </c>
      <c r="C132" t="str">
        <f>"Q"&amp;ROUNDUP(MONTH(FinancialData[[#This Row],[Date]])/3,0)</f>
        <v>Q3</v>
      </c>
      <c r="D132" s="8" t="s">
        <v>325</v>
      </c>
      <c r="E132" s="14">
        <v>10655734</v>
      </c>
      <c r="F132" s="14">
        <v>2408508</v>
      </c>
      <c r="G132" s="14">
        <v>8247226</v>
      </c>
      <c r="H132" s="6">
        <f>IFERROR(FinancialData[[#This Row],[Profit]]/FinancialData[[#This Row],[Revenue]],0)</f>
        <v>0.77397070910366195</v>
      </c>
      <c r="I132" s="6">
        <f>IFERROR(FinancialData[[#This Row],[Expenses]]/FinancialData[[#This Row],[Revenue]],0)</f>
        <v>0.22602929089633805</v>
      </c>
      <c r="J132" s="3">
        <v>45474</v>
      </c>
      <c r="K132">
        <v>2024</v>
      </c>
    </row>
    <row r="133" spans="1:11" x14ac:dyDescent="0.35">
      <c r="A133" t="str">
        <f>TEXT(FinancialData[[#This Row],[Date]],"MMMM")</f>
        <v>July</v>
      </c>
      <c r="B133">
        <f>MONTH(FinancialData[[#This Row],[Date]])</f>
        <v>7</v>
      </c>
      <c r="C133" t="str">
        <f>"Q"&amp;ROUNDUP(MONTH(FinancialData[[#This Row],[Date]])/3,0)</f>
        <v>Q3</v>
      </c>
      <c r="D133" s="8" t="s">
        <v>11</v>
      </c>
      <c r="E133" s="14">
        <v>10887632</v>
      </c>
      <c r="F133" s="14">
        <v>3314932</v>
      </c>
      <c r="G133" s="14">
        <v>7572700</v>
      </c>
      <c r="H133" s="6">
        <f>IFERROR(FinancialData[[#This Row],[Profit]]/FinancialData[[#This Row],[Revenue]],0)</f>
        <v>0.69553232511899743</v>
      </c>
      <c r="I133" s="6">
        <f>IFERROR(FinancialData[[#This Row],[Expenses]]/FinancialData[[#This Row],[Revenue]],0)</f>
        <v>0.30446767488100257</v>
      </c>
      <c r="J133" s="3">
        <v>45482</v>
      </c>
      <c r="K133">
        <v>2024</v>
      </c>
    </row>
    <row r="134" spans="1:11" x14ac:dyDescent="0.35">
      <c r="A134" t="str">
        <f>TEXT(FinancialData[[#This Row],[Date]],"MMMM")</f>
        <v>July</v>
      </c>
      <c r="B134">
        <f>MONTH(FinancialData[[#This Row],[Date]])</f>
        <v>7</v>
      </c>
      <c r="C134" t="str">
        <f>"Q"&amp;ROUNDUP(MONTH(FinancialData[[#This Row],[Date]])/3,0)</f>
        <v>Q3</v>
      </c>
      <c r="D134" s="8" t="s">
        <v>11</v>
      </c>
      <c r="E134" s="14">
        <v>3115955</v>
      </c>
      <c r="F134" s="14">
        <v>2888010</v>
      </c>
      <c r="G134" s="14">
        <v>227945</v>
      </c>
      <c r="H134" s="6">
        <f>IFERROR(FinancialData[[#This Row],[Profit]]/FinancialData[[#This Row],[Revenue]],0)</f>
        <v>7.3154137335102717E-2</v>
      </c>
      <c r="I134" s="6">
        <f>IFERROR(FinancialData[[#This Row],[Expenses]]/FinancialData[[#This Row],[Revenue]],0)</f>
        <v>0.92684586266489732</v>
      </c>
      <c r="J134" s="3">
        <v>45474</v>
      </c>
      <c r="K134">
        <v>2024</v>
      </c>
    </row>
    <row r="135" spans="1:11" x14ac:dyDescent="0.35">
      <c r="A135" t="str">
        <f>TEXT(FinancialData[[#This Row],[Date]],"MMMM")</f>
        <v>July</v>
      </c>
      <c r="B135">
        <f>MONTH(FinancialData[[#This Row],[Date]])</f>
        <v>7</v>
      </c>
      <c r="C135" t="str">
        <f>"Q"&amp;ROUNDUP(MONTH(FinancialData[[#This Row],[Date]])/3,0)</f>
        <v>Q3</v>
      </c>
      <c r="D135" s="8" t="s">
        <v>325</v>
      </c>
      <c r="E135" s="14">
        <v>10422659</v>
      </c>
      <c r="F135" s="14">
        <v>8777125</v>
      </c>
      <c r="G135" s="14">
        <v>1645534</v>
      </c>
      <c r="H135" s="6">
        <f>IFERROR(FinancialData[[#This Row],[Profit]]/FinancialData[[#This Row],[Revenue]],0)</f>
        <v>0.15788044106595064</v>
      </c>
      <c r="I135" s="6">
        <f>IFERROR(FinancialData[[#This Row],[Expenses]]/FinancialData[[#This Row],[Revenue]],0)</f>
        <v>0.84211955893404933</v>
      </c>
      <c r="J135" s="3">
        <v>45478</v>
      </c>
      <c r="K135">
        <v>2024</v>
      </c>
    </row>
    <row r="136" spans="1:11" x14ac:dyDescent="0.35">
      <c r="A136" t="str">
        <f>TEXT(FinancialData[[#This Row],[Date]],"MMMM")</f>
        <v>July</v>
      </c>
      <c r="B136">
        <f>MONTH(FinancialData[[#This Row],[Date]])</f>
        <v>7</v>
      </c>
      <c r="C136" t="str">
        <f>"Q"&amp;ROUNDUP(MONTH(FinancialData[[#This Row],[Date]])/3,0)</f>
        <v>Q3</v>
      </c>
      <c r="D136" s="8" t="s">
        <v>325</v>
      </c>
      <c r="E136" s="14">
        <v>17872796</v>
      </c>
      <c r="F136" s="14">
        <v>4065021</v>
      </c>
      <c r="G136" s="14">
        <v>13807775</v>
      </c>
      <c r="H136" s="6">
        <f>IFERROR(FinancialData[[#This Row],[Profit]]/FinancialData[[#This Row],[Revenue]],0)</f>
        <v>0.77255819402851122</v>
      </c>
      <c r="I136" s="6">
        <f>IFERROR(FinancialData[[#This Row],[Expenses]]/FinancialData[[#This Row],[Revenue]],0)</f>
        <v>0.22744180597148875</v>
      </c>
      <c r="J136" s="3">
        <v>45866</v>
      </c>
      <c r="K136">
        <v>2025</v>
      </c>
    </row>
    <row r="137" spans="1:11" x14ac:dyDescent="0.35">
      <c r="A137" t="str">
        <f>TEXT(FinancialData[[#This Row],[Date]],"MMMM")</f>
        <v>July</v>
      </c>
      <c r="B137">
        <f>MONTH(FinancialData[[#This Row],[Date]])</f>
        <v>7</v>
      </c>
      <c r="C137" t="str">
        <f>"Q"&amp;ROUNDUP(MONTH(FinancialData[[#This Row],[Date]])/3,0)</f>
        <v>Q3</v>
      </c>
      <c r="D137" s="8" t="s">
        <v>325</v>
      </c>
      <c r="E137" s="14">
        <v>13243123</v>
      </c>
      <c r="F137" s="14">
        <v>5468428</v>
      </c>
      <c r="G137" s="14">
        <v>7774695</v>
      </c>
      <c r="H137" s="6">
        <f>IFERROR(FinancialData[[#This Row],[Profit]]/FinancialData[[#This Row],[Revenue]],0)</f>
        <v>0.5870741365159865</v>
      </c>
      <c r="I137" s="6">
        <f>IFERROR(FinancialData[[#This Row],[Expenses]]/FinancialData[[#This Row],[Revenue]],0)</f>
        <v>0.41292586348401356</v>
      </c>
      <c r="J137" s="3">
        <v>45859</v>
      </c>
      <c r="K137">
        <v>2025</v>
      </c>
    </row>
    <row r="138" spans="1:11" x14ac:dyDescent="0.35">
      <c r="A138" t="str">
        <f>TEXT(FinancialData[[#This Row],[Date]],"MMMM")</f>
        <v>July</v>
      </c>
      <c r="B138">
        <f>MONTH(FinancialData[[#This Row],[Date]])</f>
        <v>7</v>
      </c>
      <c r="C138" t="str">
        <f>"Q"&amp;ROUNDUP(MONTH(FinancialData[[#This Row],[Date]])/3,0)</f>
        <v>Q3</v>
      </c>
      <c r="D138" s="8" t="s">
        <v>325</v>
      </c>
      <c r="E138" s="14">
        <v>13395811</v>
      </c>
      <c r="F138" s="14">
        <v>8109917</v>
      </c>
      <c r="G138" s="14">
        <v>5285894</v>
      </c>
      <c r="H138" s="6">
        <f>IFERROR(FinancialData[[#This Row],[Profit]]/FinancialData[[#This Row],[Revenue]],0)</f>
        <v>0.39459305599339972</v>
      </c>
      <c r="I138" s="6">
        <f>IFERROR(FinancialData[[#This Row],[Expenses]]/FinancialData[[#This Row],[Revenue]],0)</f>
        <v>0.60540694400660022</v>
      </c>
      <c r="J138" s="3">
        <v>45841</v>
      </c>
      <c r="K138">
        <v>2025</v>
      </c>
    </row>
    <row r="139" spans="1:11" x14ac:dyDescent="0.35">
      <c r="A139" t="str">
        <f>TEXT(FinancialData[[#This Row],[Date]],"MMMM")</f>
        <v>July</v>
      </c>
      <c r="B139">
        <f>MONTH(FinancialData[[#This Row],[Date]])</f>
        <v>7</v>
      </c>
      <c r="C139" t="str">
        <f>"Q"&amp;ROUNDUP(MONTH(FinancialData[[#This Row],[Date]])/3,0)</f>
        <v>Q3</v>
      </c>
      <c r="D139" s="8" t="s">
        <v>11</v>
      </c>
      <c r="E139" s="14">
        <v>10887632</v>
      </c>
      <c r="F139" s="14">
        <v>3314932</v>
      </c>
      <c r="G139" s="14">
        <v>7572700</v>
      </c>
      <c r="H139" s="6">
        <f>IFERROR(FinancialData[[#This Row],[Profit]]/FinancialData[[#This Row],[Revenue]],0)</f>
        <v>0.69553232511899743</v>
      </c>
      <c r="I139" s="6">
        <f>IFERROR(FinancialData[[#This Row],[Expenses]]/FinancialData[[#This Row],[Revenue]],0)</f>
        <v>0.30446767488100257</v>
      </c>
      <c r="J139" s="3">
        <v>45497</v>
      </c>
      <c r="K139">
        <v>2024</v>
      </c>
    </row>
    <row r="140" spans="1:11" x14ac:dyDescent="0.35">
      <c r="A140" t="str">
        <f>TEXT(FinancialData[[#This Row],[Date]],"MMMM")</f>
        <v>July</v>
      </c>
      <c r="B140">
        <f>MONTH(FinancialData[[#This Row],[Date]])</f>
        <v>7</v>
      </c>
      <c r="C140" t="str">
        <f>"Q"&amp;ROUNDUP(MONTH(FinancialData[[#This Row],[Date]])/3,0)</f>
        <v>Q3</v>
      </c>
      <c r="D140" s="8" t="s">
        <v>325</v>
      </c>
      <c r="E140" s="14">
        <v>17872796</v>
      </c>
      <c r="F140" s="14">
        <v>4065021</v>
      </c>
      <c r="G140" s="14">
        <v>13807775</v>
      </c>
      <c r="H140" s="6">
        <f>IFERROR(FinancialData[[#This Row],[Profit]]/FinancialData[[#This Row],[Revenue]],0)</f>
        <v>0.77255819402851122</v>
      </c>
      <c r="I140" s="6">
        <f>IFERROR(FinancialData[[#This Row],[Expenses]]/FinancialData[[#This Row],[Revenue]],0)</f>
        <v>0.22744180597148875</v>
      </c>
      <c r="J140" s="3">
        <v>45862</v>
      </c>
      <c r="K140">
        <v>2025</v>
      </c>
    </row>
    <row r="141" spans="1:11" x14ac:dyDescent="0.35">
      <c r="A141" t="str">
        <f>TEXT(FinancialData[[#This Row],[Date]],"MMMM")</f>
        <v>July</v>
      </c>
      <c r="B141">
        <f>MONTH(FinancialData[[#This Row],[Date]])</f>
        <v>7</v>
      </c>
      <c r="C141" t="str">
        <f>"Q"&amp;ROUNDUP(MONTH(FinancialData[[#This Row],[Date]])/3,0)</f>
        <v>Q3</v>
      </c>
      <c r="D141" s="8" t="s">
        <v>11</v>
      </c>
      <c r="E141" s="14">
        <v>2093322</v>
      </c>
      <c r="F141" s="14">
        <v>846252</v>
      </c>
      <c r="G141" s="14">
        <v>1247070</v>
      </c>
      <c r="H141" s="6">
        <f>IFERROR(FinancialData[[#This Row],[Profit]]/FinancialData[[#This Row],[Revenue]],0)</f>
        <v>0.59573730176246176</v>
      </c>
      <c r="I141" s="6">
        <f>IFERROR(FinancialData[[#This Row],[Expenses]]/FinancialData[[#This Row],[Revenue]],0)</f>
        <v>0.40426269823753824</v>
      </c>
      <c r="J141" s="3">
        <v>45495</v>
      </c>
      <c r="K141">
        <v>2024</v>
      </c>
    </row>
    <row r="142" spans="1:11" x14ac:dyDescent="0.35">
      <c r="A142" t="str">
        <f>TEXT(FinancialData[[#This Row],[Date]],"MMMM")</f>
        <v>July</v>
      </c>
      <c r="B142">
        <f>MONTH(FinancialData[[#This Row],[Date]])</f>
        <v>7</v>
      </c>
      <c r="C142" t="str">
        <f>"Q"&amp;ROUNDUP(MONTH(FinancialData[[#This Row],[Date]])/3,0)</f>
        <v>Q3</v>
      </c>
      <c r="D142" s="8" t="s">
        <v>11</v>
      </c>
      <c r="E142" s="14">
        <v>9869633</v>
      </c>
      <c r="F142" s="14">
        <v>8708702</v>
      </c>
      <c r="G142" s="14">
        <v>1160931</v>
      </c>
      <c r="H142" s="6">
        <f>IFERROR(FinancialData[[#This Row],[Profit]]/FinancialData[[#This Row],[Revenue]],0)</f>
        <v>0.11762656220347809</v>
      </c>
      <c r="I142" s="6">
        <f>IFERROR(FinancialData[[#This Row],[Expenses]]/FinancialData[[#This Row],[Revenue]],0)</f>
        <v>0.88237343779652189</v>
      </c>
      <c r="J142" s="3">
        <v>45844</v>
      </c>
      <c r="K142">
        <v>2025</v>
      </c>
    </row>
    <row r="143" spans="1:11" x14ac:dyDescent="0.35">
      <c r="A143" t="str">
        <f>TEXT(FinancialData[[#This Row],[Date]],"MMMM")</f>
        <v>August</v>
      </c>
      <c r="B143">
        <f>MONTH(FinancialData[[#This Row],[Date]])</f>
        <v>8</v>
      </c>
      <c r="C143" t="str">
        <f>"Q"&amp;ROUNDUP(MONTH(FinancialData[[#This Row],[Date]])/3,0)</f>
        <v>Q3</v>
      </c>
      <c r="D143" s="8" t="s">
        <v>11</v>
      </c>
      <c r="E143" s="14">
        <v>7684666</v>
      </c>
      <c r="F143" s="14">
        <v>5053533</v>
      </c>
      <c r="G143" s="14">
        <v>2631133</v>
      </c>
      <c r="H143" s="6">
        <f>IFERROR(FinancialData[[#This Row],[Profit]]/FinancialData[[#This Row],[Revenue]],0)</f>
        <v>0.34238742451526194</v>
      </c>
      <c r="I143" s="6">
        <f>IFERROR(FinancialData[[#This Row],[Expenses]]/FinancialData[[#This Row],[Revenue]],0)</f>
        <v>0.65761257548473806</v>
      </c>
      <c r="J143" s="3">
        <v>45512</v>
      </c>
      <c r="K143">
        <v>2024</v>
      </c>
    </row>
    <row r="144" spans="1:11" x14ac:dyDescent="0.35">
      <c r="A144" t="str">
        <f>TEXT(FinancialData[[#This Row],[Date]],"MMMM")</f>
        <v>August</v>
      </c>
      <c r="B144">
        <f>MONTH(FinancialData[[#This Row],[Date]])</f>
        <v>8</v>
      </c>
      <c r="C144" t="str">
        <f>"Q"&amp;ROUNDUP(MONTH(FinancialData[[#This Row],[Date]])/3,0)</f>
        <v>Q3</v>
      </c>
      <c r="D144" s="8" t="s">
        <v>325</v>
      </c>
      <c r="E144" s="14">
        <v>9166769</v>
      </c>
      <c r="F144" s="14">
        <v>7049977</v>
      </c>
      <c r="G144" s="14">
        <v>2116792</v>
      </c>
      <c r="H144" s="6">
        <f>IFERROR(FinancialData[[#This Row],[Profit]]/FinancialData[[#This Row],[Revenue]],0)</f>
        <v>0.23092018572738116</v>
      </c>
      <c r="I144" s="6">
        <f>IFERROR(FinancialData[[#This Row],[Expenses]]/FinancialData[[#This Row],[Revenue]],0)</f>
        <v>0.76907981427261884</v>
      </c>
      <c r="J144" s="3">
        <v>45511</v>
      </c>
      <c r="K144">
        <v>2024</v>
      </c>
    </row>
    <row r="145" spans="1:11" x14ac:dyDescent="0.35">
      <c r="A145" t="str">
        <f>TEXT(FinancialData[[#This Row],[Date]],"MMMM")</f>
        <v>August</v>
      </c>
      <c r="B145">
        <f>MONTH(FinancialData[[#This Row],[Date]])</f>
        <v>8</v>
      </c>
      <c r="C145" t="str">
        <f>"Q"&amp;ROUNDUP(MONTH(FinancialData[[#This Row],[Date]])/3,0)</f>
        <v>Q3</v>
      </c>
      <c r="D145" s="8" t="s">
        <v>325</v>
      </c>
      <c r="E145" s="14">
        <v>17772619</v>
      </c>
      <c r="F145" s="14">
        <v>3751148</v>
      </c>
      <c r="G145" s="14">
        <v>14021471</v>
      </c>
      <c r="H145" s="6">
        <f>IFERROR(FinancialData[[#This Row],[Profit]]/FinancialData[[#This Row],[Revenue]],0)</f>
        <v>0.78893667838150361</v>
      </c>
      <c r="I145" s="6">
        <f>IFERROR(FinancialData[[#This Row],[Expenses]]/FinancialData[[#This Row],[Revenue]],0)</f>
        <v>0.21106332161849642</v>
      </c>
      <c r="J145" s="3">
        <v>45896</v>
      </c>
      <c r="K145">
        <v>2025</v>
      </c>
    </row>
    <row r="146" spans="1:11" x14ac:dyDescent="0.35">
      <c r="A146" t="str">
        <f>TEXT(FinancialData[[#This Row],[Date]],"MMMM")</f>
        <v>August</v>
      </c>
      <c r="B146">
        <f>MONTH(FinancialData[[#This Row],[Date]])</f>
        <v>8</v>
      </c>
      <c r="C146" t="str">
        <f>"Q"&amp;ROUNDUP(MONTH(FinancialData[[#This Row],[Date]])/3,0)</f>
        <v>Q3</v>
      </c>
      <c r="D146" s="8" t="s">
        <v>325</v>
      </c>
      <c r="E146" s="14">
        <v>13243123</v>
      </c>
      <c r="F146" s="14">
        <v>5468428</v>
      </c>
      <c r="G146" s="14">
        <v>7774695</v>
      </c>
      <c r="H146" s="6">
        <f>IFERROR(FinancialData[[#This Row],[Profit]]/FinancialData[[#This Row],[Revenue]],0)</f>
        <v>0.5870741365159865</v>
      </c>
      <c r="I146" s="6">
        <f>IFERROR(FinancialData[[#This Row],[Expenses]]/FinancialData[[#This Row],[Revenue]],0)</f>
        <v>0.41292586348401356</v>
      </c>
      <c r="J146" s="3">
        <v>45507</v>
      </c>
      <c r="K146">
        <v>2024</v>
      </c>
    </row>
    <row r="147" spans="1:11" x14ac:dyDescent="0.35">
      <c r="A147" t="str">
        <f>TEXT(FinancialData[[#This Row],[Date]],"MMMM")</f>
        <v>August</v>
      </c>
      <c r="B147">
        <f>MONTH(FinancialData[[#This Row],[Date]])</f>
        <v>8</v>
      </c>
      <c r="C147" t="str">
        <f>"Q"&amp;ROUNDUP(MONTH(FinancialData[[#This Row],[Date]])/3,0)</f>
        <v>Q3</v>
      </c>
      <c r="D147" s="8" t="s">
        <v>325</v>
      </c>
      <c r="E147" s="14">
        <v>13395811</v>
      </c>
      <c r="F147" s="14">
        <v>8109917</v>
      </c>
      <c r="G147" s="14">
        <v>5285894</v>
      </c>
      <c r="H147" s="6">
        <f>IFERROR(FinancialData[[#This Row],[Profit]]/FinancialData[[#This Row],[Revenue]],0)</f>
        <v>0.39459305599339972</v>
      </c>
      <c r="I147" s="6">
        <f>IFERROR(FinancialData[[#This Row],[Expenses]]/FinancialData[[#This Row],[Revenue]],0)</f>
        <v>0.60540694400660022</v>
      </c>
      <c r="J147" s="3">
        <v>45870</v>
      </c>
      <c r="K147">
        <v>2025</v>
      </c>
    </row>
    <row r="148" spans="1:11" x14ac:dyDescent="0.35">
      <c r="A148" t="str">
        <f>TEXT(FinancialData[[#This Row],[Date]],"MMMM")</f>
        <v>August</v>
      </c>
      <c r="B148">
        <f>MONTH(FinancialData[[#This Row],[Date]])</f>
        <v>8</v>
      </c>
      <c r="C148" t="str">
        <f>"Q"&amp;ROUNDUP(MONTH(FinancialData[[#This Row],[Date]])/3,0)</f>
        <v>Q3</v>
      </c>
      <c r="D148" s="8" t="s">
        <v>325</v>
      </c>
      <c r="E148" s="14">
        <v>8925622</v>
      </c>
      <c r="F148" s="14">
        <v>7859625</v>
      </c>
      <c r="G148" s="14">
        <v>1065997</v>
      </c>
      <c r="H148" s="6">
        <f>IFERROR(FinancialData[[#This Row],[Profit]]/FinancialData[[#This Row],[Revenue]],0)</f>
        <v>0.11943111639726621</v>
      </c>
      <c r="I148" s="6">
        <f>IFERROR(FinancialData[[#This Row],[Expenses]]/FinancialData[[#This Row],[Revenue]],0)</f>
        <v>0.88056888360273378</v>
      </c>
      <c r="J148" s="3">
        <v>45894</v>
      </c>
      <c r="K148">
        <v>2025</v>
      </c>
    </row>
    <row r="149" spans="1:11" x14ac:dyDescent="0.35">
      <c r="A149" t="str">
        <f>TEXT(FinancialData[[#This Row],[Date]],"MMMM")</f>
        <v>August</v>
      </c>
      <c r="B149">
        <f>MONTH(FinancialData[[#This Row],[Date]])</f>
        <v>8</v>
      </c>
      <c r="C149" t="str">
        <f>"Q"&amp;ROUNDUP(MONTH(FinancialData[[#This Row],[Date]])/3,0)</f>
        <v>Q3</v>
      </c>
      <c r="D149" s="8" t="s">
        <v>325</v>
      </c>
      <c r="E149" s="14">
        <v>12433378</v>
      </c>
      <c r="F149" s="14">
        <v>3398230</v>
      </c>
      <c r="G149" s="14">
        <v>9035148</v>
      </c>
      <c r="H149" s="6">
        <f>IFERROR(FinancialData[[#This Row],[Profit]]/FinancialData[[#This Row],[Revenue]],0)</f>
        <v>0.72668489609179421</v>
      </c>
      <c r="I149" s="6">
        <f>IFERROR(FinancialData[[#This Row],[Expenses]]/FinancialData[[#This Row],[Revenue]],0)</f>
        <v>0.27331510390820579</v>
      </c>
      <c r="J149" s="3">
        <v>45516</v>
      </c>
      <c r="K149">
        <v>2024</v>
      </c>
    </row>
    <row r="150" spans="1:11" x14ac:dyDescent="0.35">
      <c r="A150" t="str">
        <f>TEXT(FinancialData[[#This Row],[Date]],"MMMM")</f>
        <v>August</v>
      </c>
      <c r="B150">
        <f>MONTH(FinancialData[[#This Row],[Date]])</f>
        <v>8</v>
      </c>
      <c r="C150" t="str">
        <f>"Q"&amp;ROUNDUP(MONTH(FinancialData[[#This Row],[Date]])/3,0)</f>
        <v>Q3</v>
      </c>
      <c r="D150" s="8" t="s">
        <v>325</v>
      </c>
      <c r="E150" s="14">
        <v>13395142</v>
      </c>
      <c r="F150" s="14">
        <v>3866714</v>
      </c>
      <c r="G150" s="14">
        <v>9528428</v>
      </c>
      <c r="H150" s="6">
        <f>IFERROR(FinancialData[[#This Row],[Profit]]/FinancialData[[#This Row],[Revenue]],0)</f>
        <v>0.71133460175338192</v>
      </c>
      <c r="I150" s="6">
        <f>IFERROR(FinancialData[[#This Row],[Expenses]]/FinancialData[[#This Row],[Revenue]],0)</f>
        <v>0.28866539824661808</v>
      </c>
      <c r="J150" s="3">
        <v>45516</v>
      </c>
      <c r="K150">
        <v>2024</v>
      </c>
    </row>
    <row r="151" spans="1:11" x14ac:dyDescent="0.35">
      <c r="A151" t="str">
        <f>TEXT(FinancialData[[#This Row],[Date]],"MMMM")</f>
        <v>August</v>
      </c>
      <c r="B151">
        <f>MONTH(FinancialData[[#This Row],[Date]])</f>
        <v>8</v>
      </c>
      <c r="C151" t="str">
        <f>"Q"&amp;ROUNDUP(MONTH(FinancialData[[#This Row],[Date]])/3,0)</f>
        <v>Q3</v>
      </c>
      <c r="D151" s="8" t="s">
        <v>325</v>
      </c>
      <c r="E151" s="14">
        <v>9166769</v>
      </c>
      <c r="F151" s="14">
        <v>7049977</v>
      </c>
      <c r="G151" s="14">
        <v>2116792</v>
      </c>
      <c r="H151" s="6">
        <f>IFERROR(FinancialData[[#This Row],[Profit]]/FinancialData[[#This Row],[Revenue]],0)</f>
        <v>0.23092018572738116</v>
      </c>
      <c r="I151" s="6">
        <f>IFERROR(FinancialData[[#This Row],[Expenses]]/FinancialData[[#This Row],[Revenue]],0)</f>
        <v>0.76907981427261884</v>
      </c>
      <c r="J151" s="3">
        <v>45895</v>
      </c>
      <c r="K151">
        <v>2025</v>
      </c>
    </row>
    <row r="152" spans="1:11" x14ac:dyDescent="0.35">
      <c r="A152" t="str">
        <f>TEXT(FinancialData[[#This Row],[Date]],"MMMM")</f>
        <v>August</v>
      </c>
      <c r="B152">
        <f>MONTH(FinancialData[[#This Row],[Date]])</f>
        <v>8</v>
      </c>
      <c r="C152" t="str">
        <f>"Q"&amp;ROUNDUP(MONTH(FinancialData[[#This Row],[Date]])/3,0)</f>
        <v>Q3</v>
      </c>
      <c r="D152" s="8" t="s">
        <v>11</v>
      </c>
      <c r="E152" s="14">
        <v>6629660</v>
      </c>
      <c r="F152" s="14">
        <v>3523400</v>
      </c>
      <c r="G152" s="14">
        <v>3106260</v>
      </c>
      <c r="H152" s="6">
        <f>IFERROR(FinancialData[[#This Row],[Profit]]/FinancialData[[#This Row],[Revenue]],0)</f>
        <v>0.4685398647894462</v>
      </c>
      <c r="I152" s="6">
        <f>IFERROR(FinancialData[[#This Row],[Expenses]]/FinancialData[[#This Row],[Revenue]],0)</f>
        <v>0.5314601352105538</v>
      </c>
      <c r="J152" s="3">
        <v>45526</v>
      </c>
      <c r="K152">
        <v>2024</v>
      </c>
    </row>
    <row r="153" spans="1:11" x14ac:dyDescent="0.35">
      <c r="A153" t="str">
        <f>TEXT(FinancialData[[#This Row],[Date]],"MMMM")</f>
        <v>August</v>
      </c>
      <c r="B153">
        <f>MONTH(FinancialData[[#This Row],[Date]])</f>
        <v>8</v>
      </c>
      <c r="C153" t="str">
        <f>"Q"&amp;ROUNDUP(MONTH(FinancialData[[#This Row],[Date]])/3,0)</f>
        <v>Q3</v>
      </c>
      <c r="D153" s="8" t="s">
        <v>325</v>
      </c>
      <c r="E153" s="14">
        <v>13395142</v>
      </c>
      <c r="F153" s="14">
        <v>3866714</v>
      </c>
      <c r="G153" s="14">
        <v>9528428</v>
      </c>
      <c r="H153" s="6">
        <f>IFERROR(FinancialData[[#This Row],[Profit]]/FinancialData[[#This Row],[Revenue]],0)</f>
        <v>0.71133460175338192</v>
      </c>
      <c r="I153" s="6">
        <f>IFERROR(FinancialData[[#This Row],[Expenses]]/FinancialData[[#This Row],[Revenue]],0)</f>
        <v>0.28866539824661808</v>
      </c>
      <c r="J153" s="3">
        <v>45535</v>
      </c>
      <c r="K153">
        <v>2024</v>
      </c>
    </row>
    <row r="154" spans="1:11" x14ac:dyDescent="0.35">
      <c r="A154" t="str">
        <f>TEXT(FinancialData[[#This Row],[Date]],"MMMM")</f>
        <v>August</v>
      </c>
      <c r="B154">
        <f>MONTH(FinancialData[[#This Row],[Date]])</f>
        <v>8</v>
      </c>
      <c r="C154" t="str">
        <f>"Q"&amp;ROUNDUP(MONTH(FinancialData[[#This Row],[Date]])/3,0)</f>
        <v>Q3</v>
      </c>
      <c r="D154" s="8" t="s">
        <v>11</v>
      </c>
      <c r="E154" s="14">
        <v>10887632</v>
      </c>
      <c r="F154" s="14">
        <v>3314932</v>
      </c>
      <c r="G154" s="14">
        <v>7572700</v>
      </c>
      <c r="H154" s="6">
        <f>IFERROR(FinancialData[[#This Row],[Profit]]/FinancialData[[#This Row],[Revenue]],0)</f>
        <v>0.69553232511899743</v>
      </c>
      <c r="I154" s="6">
        <f>IFERROR(FinancialData[[#This Row],[Expenses]]/FinancialData[[#This Row],[Revenue]],0)</f>
        <v>0.30446767488100257</v>
      </c>
      <c r="J154" s="3">
        <v>45525</v>
      </c>
      <c r="K154">
        <v>2024</v>
      </c>
    </row>
    <row r="155" spans="1:11" x14ac:dyDescent="0.35">
      <c r="A155" t="str">
        <f>TEXT(FinancialData[[#This Row],[Date]],"MMMM")</f>
        <v>August</v>
      </c>
      <c r="B155">
        <f>MONTH(FinancialData[[#This Row],[Date]])</f>
        <v>8</v>
      </c>
      <c r="C155" t="str">
        <f>"Q"&amp;ROUNDUP(MONTH(FinancialData[[#This Row],[Date]])/3,0)</f>
        <v>Q3</v>
      </c>
      <c r="D155" s="8" t="s">
        <v>325</v>
      </c>
      <c r="E155" s="14">
        <v>13243123</v>
      </c>
      <c r="F155" s="14">
        <v>5468428</v>
      </c>
      <c r="G155" s="14">
        <v>7774695</v>
      </c>
      <c r="H155" s="6">
        <f>IFERROR(FinancialData[[#This Row],[Profit]]/FinancialData[[#This Row],[Revenue]],0)</f>
        <v>0.5870741365159865</v>
      </c>
      <c r="I155" s="6">
        <f>IFERROR(FinancialData[[#This Row],[Expenses]]/FinancialData[[#This Row],[Revenue]],0)</f>
        <v>0.41292586348401356</v>
      </c>
      <c r="J155" s="3">
        <v>45872</v>
      </c>
      <c r="K155">
        <v>2025</v>
      </c>
    </row>
    <row r="156" spans="1:11" x14ac:dyDescent="0.35">
      <c r="A156" t="str">
        <f>TEXT(FinancialData[[#This Row],[Date]],"MMMM")</f>
        <v>August</v>
      </c>
      <c r="B156">
        <f>MONTH(FinancialData[[#This Row],[Date]])</f>
        <v>8</v>
      </c>
      <c r="C156" t="str">
        <f>"Q"&amp;ROUNDUP(MONTH(FinancialData[[#This Row],[Date]])/3,0)</f>
        <v>Q3</v>
      </c>
      <c r="D156" s="8" t="s">
        <v>325</v>
      </c>
      <c r="E156" s="14">
        <v>9166769</v>
      </c>
      <c r="F156" s="14">
        <v>7049977</v>
      </c>
      <c r="G156" s="14">
        <v>2116792</v>
      </c>
      <c r="H156" s="6">
        <f>IFERROR(FinancialData[[#This Row],[Profit]]/FinancialData[[#This Row],[Revenue]],0)</f>
        <v>0.23092018572738116</v>
      </c>
      <c r="I156" s="6">
        <f>IFERROR(FinancialData[[#This Row],[Expenses]]/FinancialData[[#This Row],[Revenue]],0)</f>
        <v>0.76907981427261884</v>
      </c>
      <c r="J156" s="3">
        <v>45520</v>
      </c>
      <c r="K156">
        <v>2024</v>
      </c>
    </row>
    <row r="157" spans="1:11" x14ac:dyDescent="0.35">
      <c r="A157" t="str">
        <f>TEXT(FinancialData[[#This Row],[Date]],"MMMM")</f>
        <v>August</v>
      </c>
      <c r="B157">
        <f>MONTH(FinancialData[[#This Row],[Date]])</f>
        <v>8</v>
      </c>
      <c r="C157" t="str">
        <f>"Q"&amp;ROUNDUP(MONTH(FinancialData[[#This Row],[Date]])/3,0)</f>
        <v>Q3</v>
      </c>
      <c r="D157" s="8" t="s">
        <v>325</v>
      </c>
      <c r="E157" s="14">
        <v>9166769</v>
      </c>
      <c r="F157" s="14">
        <v>7049977</v>
      </c>
      <c r="G157" s="14">
        <v>2116792</v>
      </c>
      <c r="H157" s="6">
        <f>IFERROR(FinancialData[[#This Row],[Profit]]/FinancialData[[#This Row],[Revenue]],0)</f>
        <v>0.23092018572738116</v>
      </c>
      <c r="I157" s="6">
        <f>IFERROR(FinancialData[[#This Row],[Expenses]]/FinancialData[[#This Row],[Revenue]],0)</f>
        <v>0.76907981427261884</v>
      </c>
      <c r="J157" s="3">
        <v>45522</v>
      </c>
      <c r="K157">
        <v>2024</v>
      </c>
    </row>
    <row r="158" spans="1:11" x14ac:dyDescent="0.35">
      <c r="A158" t="str">
        <f>TEXT(FinancialData[[#This Row],[Date]],"MMMM")</f>
        <v>August</v>
      </c>
      <c r="B158">
        <f>MONTH(FinancialData[[#This Row],[Date]])</f>
        <v>8</v>
      </c>
      <c r="C158" t="str">
        <f>"Q"&amp;ROUNDUP(MONTH(FinancialData[[#This Row],[Date]])/3,0)</f>
        <v>Q3</v>
      </c>
      <c r="D158" s="8" t="s">
        <v>325</v>
      </c>
      <c r="E158" s="14">
        <v>17772619</v>
      </c>
      <c r="F158" s="14">
        <v>3751148</v>
      </c>
      <c r="G158" s="14">
        <v>14021471</v>
      </c>
      <c r="H158" s="6">
        <f>IFERROR(FinancialData[[#This Row],[Profit]]/FinancialData[[#This Row],[Revenue]],0)</f>
        <v>0.78893667838150361</v>
      </c>
      <c r="I158" s="6">
        <f>IFERROR(FinancialData[[#This Row],[Expenses]]/FinancialData[[#This Row],[Revenue]],0)</f>
        <v>0.21106332161849642</v>
      </c>
      <c r="J158" s="3">
        <v>45527</v>
      </c>
      <c r="K158">
        <v>2024</v>
      </c>
    </row>
    <row r="159" spans="1:11" x14ac:dyDescent="0.35">
      <c r="A159" t="str">
        <f>TEXT(FinancialData[[#This Row],[Date]],"MMMM")</f>
        <v>August</v>
      </c>
      <c r="B159">
        <f>MONTH(FinancialData[[#This Row],[Date]])</f>
        <v>8</v>
      </c>
      <c r="C159" t="str">
        <f>"Q"&amp;ROUNDUP(MONTH(FinancialData[[#This Row],[Date]])/3,0)</f>
        <v>Q3</v>
      </c>
      <c r="D159" s="8" t="s">
        <v>325</v>
      </c>
      <c r="E159" s="14">
        <v>17772619</v>
      </c>
      <c r="F159" s="14">
        <v>3751148</v>
      </c>
      <c r="G159" s="14">
        <v>14021471</v>
      </c>
      <c r="H159" s="6">
        <f>IFERROR(FinancialData[[#This Row],[Profit]]/FinancialData[[#This Row],[Revenue]],0)</f>
        <v>0.78893667838150361</v>
      </c>
      <c r="I159" s="6">
        <f>IFERROR(FinancialData[[#This Row],[Expenses]]/FinancialData[[#This Row],[Revenue]],0)</f>
        <v>0.21106332161849642</v>
      </c>
      <c r="J159" s="3">
        <v>45883</v>
      </c>
      <c r="K159">
        <v>2025</v>
      </c>
    </row>
    <row r="160" spans="1:11" x14ac:dyDescent="0.35">
      <c r="A160" t="str">
        <f>TEXT(FinancialData[[#This Row],[Date]],"MMMM")</f>
        <v>August</v>
      </c>
      <c r="B160">
        <f>MONTH(FinancialData[[#This Row],[Date]])</f>
        <v>8</v>
      </c>
      <c r="C160" t="str">
        <f>"Q"&amp;ROUNDUP(MONTH(FinancialData[[#This Row],[Date]])/3,0)</f>
        <v>Q3</v>
      </c>
      <c r="D160" s="8" t="s">
        <v>325</v>
      </c>
      <c r="E160" s="14">
        <v>9166769</v>
      </c>
      <c r="F160" s="14">
        <v>7049977</v>
      </c>
      <c r="G160" s="14">
        <v>2116792</v>
      </c>
      <c r="H160" s="6">
        <f>IFERROR(FinancialData[[#This Row],[Profit]]/FinancialData[[#This Row],[Revenue]],0)</f>
        <v>0.23092018572738116</v>
      </c>
      <c r="I160" s="6">
        <f>IFERROR(FinancialData[[#This Row],[Expenses]]/FinancialData[[#This Row],[Revenue]],0)</f>
        <v>0.76907981427261884</v>
      </c>
      <c r="J160" s="3">
        <v>45889</v>
      </c>
      <c r="K160">
        <v>2025</v>
      </c>
    </row>
    <row r="161" spans="1:11" x14ac:dyDescent="0.35">
      <c r="A161" t="str">
        <f>TEXT(FinancialData[[#This Row],[Date]],"MMMM")</f>
        <v>August</v>
      </c>
      <c r="B161">
        <f>MONTH(FinancialData[[#This Row],[Date]])</f>
        <v>8</v>
      </c>
      <c r="C161" t="str">
        <f>"Q"&amp;ROUNDUP(MONTH(FinancialData[[#This Row],[Date]])/3,0)</f>
        <v>Q3</v>
      </c>
      <c r="D161" s="8" t="s">
        <v>325</v>
      </c>
      <c r="E161" s="14">
        <v>10422659</v>
      </c>
      <c r="F161" s="14">
        <v>8777125</v>
      </c>
      <c r="G161" s="14">
        <v>1645534</v>
      </c>
      <c r="H161" s="6">
        <f>IFERROR(FinancialData[[#This Row],[Profit]]/FinancialData[[#This Row],[Revenue]],0)</f>
        <v>0.15788044106595064</v>
      </c>
      <c r="I161" s="6">
        <f>IFERROR(FinancialData[[#This Row],[Expenses]]/FinancialData[[#This Row],[Revenue]],0)</f>
        <v>0.84211955893404933</v>
      </c>
      <c r="J161" s="3">
        <v>45517</v>
      </c>
      <c r="K161">
        <v>2024</v>
      </c>
    </row>
    <row r="162" spans="1:11" x14ac:dyDescent="0.35">
      <c r="A162" t="str">
        <f>TEXT(FinancialData[[#This Row],[Date]],"MMMM")</f>
        <v>August</v>
      </c>
      <c r="B162">
        <f>MONTH(FinancialData[[#This Row],[Date]])</f>
        <v>8</v>
      </c>
      <c r="C162" t="str">
        <f>"Q"&amp;ROUNDUP(MONTH(FinancialData[[#This Row],[Date]])/3,0)</f>
        <v>Q3</v>
      </c>
      <c r="D162" s="8" t="s">
        <v>11</v>
      </c>
      <c r="E162" s="14">
        <v>6629660</v>
      </c>
      <c r="F162" s="14">
        <v>3523400</v>
      </c>
      <c r="G162" s="14">
        <v>3106260</v>
      </c>
      <c r="H162" s="6">
        <f>IFERROR(FinancialData[[#This Row],[Profit]]/FinancialData[[#This Row],[Revenue]],0)</f>
        <v>0.4685398647894462</v>
      </c>
      <c r="I162" s="6">
        <f>IFERROR(FinancialData[[#This Row],[Expenses]]/FinancialData[[#This Row],[Revenue]],0)</f>
        <v>0.5314601352105538</v>
      </c>
      <c r="J162" s="3">
        <v>45872</v>
      </c>
      <c r="K162">
        <v>2025</v>
      </c>
    </row>
    <row r="163" spans="1:11" x14ac:dyDescent="0.35">
      <c r="A163" t="str">
        <f>TEXT(FinancialData[[#This Row],[Date]],"MMMM")</f>
        <v>August</v>
      </c>
      <c r="B163">
        <f>MONTH(FinancialData[[#This Row],[Date]])</f>
        <v>8</v>
      </c>
      <c r="C163" t="str">
        <f>"Q"&amp;ROUNDUP(MONTH(FinancialData[[#This Row],[Date]])/3,0)</f>
        <v>Q3</v>
      </c>
      <c r="D163" s="8" t="s">
        <v>11</v>
      </c>
      <c r="E163" s="14">
        <v>7409657</v>
      </c>
      <c r="F163" s="14">
        <v>6271336</v>
      </c>
      <c r="G163" s="14">
        <v>1138321</v>
      </c>
      <c r="H163" s="6">
        <f>IFERROR(FinancialData[[#This Row],[Profit]]/FinancialData[[#This Row],[Revenue]],0)</f>
        <v>0.15362667934561614</v>
      </c>
      <c r="I163" s="6">
        <f>IFERROR(FinancialData[[#This Row],[Expenses]]/FinancialData[[#This Row],[Revenue]],0)</f>
        <v>0.84637332065438386</v>
      </c>
      <c r="J163" s="3">
        <v>45872</v>
      </c>
      <c r="K163">
        <v>2025</v>
      </c>
    </row>
    <row r="164" spans="1:11" x14ac:dyDescent="0.35">
      <c r="A164" t="str">
        <f>TEXT(FinancialData[[#This Row],[Date]],"MMMM")</f>
        <v>August</v>
      </c>
      <c r="B164">
        <f>MONTH(FinancialData[[#This Row],[Date]])</f>
        <v>8</v>
      </c>
      <c r="C164" t="str">
        <f>"Q"&amp;ROUNDUP(MONTH(FinancialData[[#This Row],[Date]])/3,0)</f>
        <v>Q3</v>
      </c>
      <c r="D164" s="8" t="s">
        <v>11</v>
      </c>
      <c r="E164" s="14">
        <v>6641746</v>
      </c>
      <c r="F164" s="14">
        <v>2466037</v>
      </c>
      <c r="G164" s="14">
        <v>4175709</v>
      </c>
      <c r="H164" s="6">
        <f>IFERROR(FinancialData[[#This Row],[Profit]]/FinancialData[[#This Row],[Revenue]],0)</f>
        <v>0.62870651783431641</v>
      </c>
      <c r="I164" s="6">
        <f>IFERROR(FinancialData[[#This Row],[Expenses]]/FinancialData[[#This Row],[Revenue]],0)</f>
        <v>0.37129348216568353</v>
      </c>
      <c r="J164" s="3">
        <v>45530</v>
      </c>
      <c r="K164">
        <v>2024</v>
      </c>
    </row>
    <row r="165" spans="1:11" x14ac:dyDescent="0.35">
      <c r="A165" t="str">
        <f>TEXT(FinancialData[[#This Row],[Date]],"MMMM")</f>
        <v>August</v>
      </c>
      <c r="B165">
        <f>MONTH(FinancialData[[#This Row],[Date]])</f>
        <v>8</v>
      </c>
      <c r="C165" t="str">
        <f>"Q"&amp;ROUNDUP(MONTH(FinancialData[[#This Row],[Date]])/3,0)</f>
        <v>Q3</v>
      </c>
      <c r="D165" s="8" t="s">
        <v>11</v>
      </c>
      <c r="E165" s="14">
        <v>5297234</v>
      </c>
      <c r="F165" s="14">
        <v>3596622</v>
      </c>
      <c r="G165" s="14">
        <v>1700612</v>
      </c>
      <c r="H165" s="6">
        <f>IFERROR(FinancialData[[#This Row],[Profit]]/FinancialData[[#This Row],[Revenue]],0)</f>
        <v>0.32103773403251584</v>
      </c>
      <c r="I165" s="6">
        <f>IFERROR(FinancialData[[#This Row],[Expenses]]/FinancialData[[#This Row],[Revenue]],0)</f>
        <v>0.67896226596748421</v>
      </c>
      <c r="J165" s="3">
        <v>45515</v>
      </c>
      <c r="K165">
        <v>2024</v>
      </c>
    </row>
    <row r="166" spans="1:11" x14ac:dyDescent="0.35">
      <c r="A166" t="str">
        <f>TEXT(FinancialData[[#This Row],[Date]],"MMMM")</f>
        <v>August</v>
      </c>
      <c r="B166">
        <f>MONTH(FinancialData[[#This Row],[Date]])</f>
        <v>8</v>
      </c>
      <c r="C166" t="str">
        <f>"Q"&amp;ROUNDUP(MONTH(FinancialData[[#This Row],[Date]])/3,0)</f>
        <v>Q3</v>
      </c>
      <c r="D166" s="8" t="s">
        <v>325</v>
      </c>
      <c r="E166" s="14">
        <v>12433378</v>
      </c>
      <c r="F166" s="14">
        <v>3398230</v>
      </c>
      <c r="G166" s="14">
        <v>9035148</v>
      </c>
      <c r="H166" s="6">
        <f>IFERROR(FinancialData[[#This Row],[Profit]]/FinancialData[[#This Row],[Revenue]],0)</f>
        <v>0.72668489609179421</v>
      </c>
      <c r="I166" s="6">
        <f>IFERROR(FinancialData[[#This Row],[Expenses]]/FinancialData[[#This Row],[Revenue]],0)</f>
        <v>0.27331510390820579</v>
      </c>
      <c r="J166" s="3">
        <v>45876</v>
      </c>
      <c r="K166">
        <v>2025</v>
      </c>
    </row>
    <row r="167" spans="1:11" x14ac:dyDescent="0.35">
      <c r="A167" t="str">
        <f>TEXT(FinancialData[[#This Row],[Date]],"MMMM")</f>
        <v>August</v>
      </c>
      <c r="B167">
        <f>MONTH(FinancialData[[#This Row],[Date]])</f>
        <v>8</v>
      </c>
      <c r="C167" t="str">
        <f>"Q"&amp;ROUNDUP(MONTH(FinancialData[[#This Row],[Date]])/3,0)</f>
        <v>Q3</v>
      </c>
      <c r="D167" s="8" t="s">
        <v>11</v>
      </c>
      <c r="E167" s="14">
        <v>10887632</v>
      </c>
      <c r="F167" s="14">
        <v>3314932</v>
      </c>
      <c r="G167" s="14">
        <v>7572700</v>
      </c>
      <c r="H167" s="6">
        <f>IFERROR(FinancialData[[#This Row],[Profit]]/FinancialData[[#This Row],[Revenue]],0)</f>
        <v>0.69553232511899743</v>
      </c>
      <c r="I167" s="6">
        <f>IFERROR(FinancialData[[#This Row],[Expenses]]/FinancialData[[#This Row],[Revenue]],0)</f>
        <v>0.30446767488100257</v>
      </c>
      <c r="J167" s="3">
        <v>45879</v>
      </c>
      <c r="K167">
        <v>2025</v>
      </c>
    </row>
    <row r="168" spans="1:11" x14ac:dyDescent="0.35">
      <c r="A168" t="str">
        <f>TEXT(FinancialData[[#This Row],[Date]],"MMMM")</f>
        <v>August</v>
      </c>
      <c r="B168">
        <f>MONTH(FinancialData[[#This Row],[Date]])</f>
        <v>8</v>
      </c>
      <c r="C168" t="str">
        <f>"Q"&amp;ROUNDUP(MONTH(FinancialData[[#This Row],[Date]])/3,0)</f>
        <v>Q3</v>
      </c>
      <c r="D168" s="8" t="s">
        <v>11</v>
      </c>
      <c r="E168" s="14">
        <v>10887632</v>
      </c>
      <c r="F168" s="14">
        <v>3314932</v>
      </c>
      <c r="G168" s="14">
        <v>7572700</v>
      </c>
      <c r="H168" s="6">
        <f>IFERROR(FinancialData[[#This Row],[Profit]]/FinancialData[[#This Row],[Revenue]],0)</f>
        <v>0.69553232511899743</v>
      </c>
      <c r="I168" s="6">
        <f>IFERROR(FinancialData[[#This Row],[Expenses]]/FinancialData[[#This Row],[Revenue]],0)</f>
        <v>0.30446767488100257</v>
      </c>
      <c r="J168" s="3">
        <v>45530</v>
      </c>
      <c r="K168">
        <v>2024</v>
      </c>
    </row>
    <row r="169" spans="1:11" x14ac:dyDescent="0.35">
      <c r="A169" t="str">
        <f>TEXT(FinancialData[[#This Row],[Date]],"MMMM")</f>
        <v>August</v>
      </c>
      <c r="B169">
        <f>MONTH(FinancialData[[#This Row],[Date]])</f>
        <v>8</v>
      </c>
      <c r="C169" t="str">
        <f>"Q"&amp;ROUNDUP(MONTH(FinancialData[[#This Row],[Date]])/3,0)</f>
        <v>Q3</v>
      </c>
      <c r="D169" s="8" t="s">
        <v>11</v>
      </c>
      <c r="E169" s="14">
        <v>7409657</v>
      </c>
      <c r="F169" s="14">
        <v>6271336</v>
      </c>
      <c r="G169" s="14">
        <v>1138321</v>
      </c>
      <c r="H169" s="6">
        <f>IFERROR(FinancialData[[#This Row],[Profit]]/FinancialData[[#This Row],[Revenue]],0)</f>
        <v>0.15362667934561614</v>
      </c>
      <c r="I169" s="6">
        <f>IFERROR(FinancialData[[#This Row],[Expenses]]/FinancialData[[#This Row],[Revenue]],0)</f>
        <v>0.84637332065438386</v>
      </c>
      <c r="J169" s="3">
        <v>45894</v>
      </c>
      <c r="K169">
        <v>2025</v>
      </c>
    </row>
    <row r="170" spans="1:11" x14ac:dyDescent="0.35">
      <c r="A170" t="str">
        <f>TEXT(FinancialData[[#This Row],[Date]],"MMMM")</f>
        <v>August</v>
      </c>
      <c r="B170">
        <f>MONTH(FinancialData[[#This Row],[Date]])</f>
        <v>8</v>
      </c>
      <c r="C170" t="str">
        <f>"Q"&amp;ROUNDUP(MONTH(FinancialData[[#This Row],[Date]])/3,0)</f>
        <v>Q3</v>
      </c>
      <c r="D170" s="8" t="s">
        <v>325</v>
      </c>
      <c r="E170" s="14">
        <v>10422659</v>
      </c>
      <c r="F170" s="14">
        <v>8777125</v>
      </c>
      <c r="G170" s="14">
        <v>1645534</v>
      </c>
      <c r="H170" s="6">
        <f>IFERROR(FinancialData[[#This Row],[Profit]]/FinancialData[[#This Row],[Revenue]],0)</f>
        <v>0.15788044106595064</v>
      </c>
      <c r="I170" s="6">
        <f>IFERROR(FinancialData[[#This Row],[Expenses]]/FinancialData[[#This Row],[Revenue]],0)</f>
        <v>0.84211955893404933</v>
      </c>
      <c r="J170" s="3">
        <v>45890</v>
      </c>
      <c r="K170">
        <v>2025</v>
      </c>
    </row>
    <row r="171" spans="1:11" x14ac:dyDescent="0.35">
      <c r="A171" t="str">
        <f>TEXT(FinancialData[[#This Row],[Date]],"MMMM")</f>
        <v>August</v>
      </c>
      <c r="B171">
        <f>MONTH(FinancialData[[#This Row],[Date]])</f>
        <v>8</v>
      </c>
      <c r="C171" t="str">
        <f>"Q"&amp;ROUNDUP(MONTH(FinancialData[[#This Row],[Date]])/3,0)</f>
        <v>Q3</v>
      </c>
      <c r="D171" s="8" t="s">
        <v>325</v>
      </c>
      <c r="E171" s="14">
        <v>9166769</v>
      </c>
      <c r="F171" s="14">
        <v>7049977</v>
      </c>
      <c r="G171" s="14">
        <v>2116792</v>
      </c>
      <c r="H171" s="6">
        <f>IFERROR(FinancialData[[#This Row],[Profit]]/FinancialData[[#This Row],[Revenue]],0)</f>
        <v>0.23092018572738116</v>
      </c>
      <c r="I171" s="6">
        <f>IFERROR(FinancialData[[#This Row],[Expenses]]/FinancialData[[#This Row],[Revenue]],0)</f>
        <v>0.76907981427261884</v>
      </c>
      <c r="J171" s="3">
        <v>45526</v>
      </c>
      <c r="K171">
        <v>2024</v>
      </c>
    </row>
    <row r="172" spans="1:11" x14ac:dyDescent="0.35">
      <c r="A172" t="str">
        <f>TEXT(FinancialData[[#This Row],[Date]],"MMMM")</f>
        <v>August</v>
      </c>
      <c r="B172">
        <f>MONTH(FinancialData[[#This Row],[Date]])</f>
        <v>8</v>
      </c>
      <c r="C172" t="str">
        <f>"Q"&amp;ROUNDUP(MONTH(FinancialData[[#This Row],[Date]])/3,0)</f>
        <v>Q3</v>
      </c>
      <c r="D172" s="8" t="s">
        <v>11</v>
      </c>
      <c r="E172" s="14">
        <v>6629660</v>
      </c>
      <c r="F172" s="14">
        <v>3523400</v>
      </c>
      <c r="G172" s="14">
        <v>3106260</v>
      </c>
      <c r="H172" s="6">
        <f>IFERROR(FinancialData[[#This Row],[Profit]]/FinancialData[[#This Row],[Revenue]],0)</f>
        <v>0.4685398647894462</v>
      </c>
      <c r="I172" s="6">
        <f>IFERROR(FinancialData[[#This Row],[Expenses]]/FinancialData[[#This Row],[Revenue]],0)</f>
        <v>0.5314601352105538</v>
      </c>
      <c r="J172" s="3">
        <v>45878</v>
      </c>
      <c r="K172">
        <v>2025</v>
      </c>
    </row>
    <row r="173" spans="1:11" x14ac:dyDescent="0.35">
      <c r="A173" t="str">
        <f>TEXT(FinancialData[[#This Row],[Date]],"MMMM")</f>
        <v>August</v>
      </c>
      <c r="B173">
        <f>MONTH(FinancialData[[#This Row],[Date]])</f>
        <v>8</v>
      </c>
      <c r="C173" t="str">
        <f>"Q"&amp;ROUNDUP(MONTH(FinancialData[[#This Row],[Date]])/3,0)</f>
        <v>Q3</v>
      </c>
      <c r="D173" s="8" t="s">
        <v>11</v>
      </c>
      <c r="E173" s="14">
        <v>9814492</v>
      </c>
      <c r="F173" s="14">
        <v>5074629</v>
      </c>
      <c r="G173" s="14">
        <v>4739863</v>
      </c>
      <c r="H173" s="6">
        <f>IFERROR(FinancialData[[#This Row],[Profit]]/FinancialData[[#This Row],[Revenue]],0)</f>
        <v>0.48294532208085755</v>
      </c>
      <c r="I173" s="6">
        <f>IFERROR(FinancialData[[#This Row],[Expenses]]/FinancialData[[#This Row],[Revenue]],0)</f>
        <v>0.51705467791914239</v>
      </c>
      <c r="J173" s="3">
        <v>45510</v>
      </c>
      <c r="K173">
        <v>2024</v>
      </c>
    </row>
    <row r="174" spans="1:11" x14ac:dyDescent="0.35">
      <c r="A174" t="str">
        <f>TEXT(FinancialData[[#This Row],[Date]],"MMMM")</f>
        <v>August</v>
      </c>
      <c r="B174">
        <f>MONTH(FinancialData[[#This Row],[Date]])</f>
        <v>8</v>
      </c>
      <c r="C174" t="str">
        <f>"Q"&amp;ROUNDUP(MONTH(FinancialData[[#This Row],[Date]])/3,0)</f>
        <v>Q3</v>
      </c>
      <c r="D174" s="8" t="s">
        <v>11</v>
      </c>
      <c r="E174" s="14">
        <v>9814492</v>
      </c>
      <c r="F174" s="14">
        <v>5074629</v>
      </c>
      <c r="G174" s="14">
        <v>4739863</v>
      </c>
      <c r="H174" s="6">
        <f>IFERROR(FinancialData[[#This Row],[Profit]]/FinancialData[[#This Row],[Revenue]],0)</f>
        <v>0.48294532208085755</v>
      </c>
      <c r="I174" s="6">
        <f>IFERROR(FinancialData[[#This Row],[Expenses]]/FinancialData[[#This Row],[Revenue]],0)</f>
        <v>0.51705467791914239</v>
      </c>
      <c r="J174" s="3">
        <v>45517</v>
      </c>
      <c r="K174">
        <v>2024</v>
      </c>
    </row>
    <row r="175" spans="1:11" x14ac:dyDescent="0.35">
      <c r="A175" t="str">
        <f>TEXT(FinancialData[[#This Row],[Date]],"MMMM")</f>
        <v>August</v>
      </c>
      <c r="B175">
        <f>MONTH(FinancialData[[#This Row],[Date]])</f>
        <v>8</v>
      </c>
      <c r="C175" t="str">
        <f>"Q"&amp;ROUNDUP(MONTH(FinancialData[[#This Row],[Date]])/3,0)</f>
        <v>Q3</v>
      </c>
      <c r="D175" s="8" t="s">
        <v>325</v>
      </c>
      <c r="E175" s="14">
        <v>8925622</v>
      </c>
      <c r="F175" s="14">
        <v>7859625</v>
      </c>
      <c r="G175" s="14">
        <v>1065997</v>
      </c>
      <c r="H175" s="6">
        <f>IFERROR(FinancialData[[#This Row],[Profit]]/FinancialData[[#This Row],[Revenue]],0)</f>
        <v>0.11943111639726621</v>
      </c>
      <c r="I175" s="6">
        <f>IFERROR(FinancialData[[#This Row],[Expenses]]/FinancialData[[#This Row],[Revenue]],0)</f>
        <v>0.88056888360273378</v>
      </c>
      <c r="J175" s="3">
        <v>45882</v>
      </c>
      <c r="K175">
        <v>2025</v>
      </c>
    </row>
    <row r="176" spans="1:11" x14ac:dyDescent="0.35">
      <c r="A176" t="str">
        <f>TEXT(FinancialData[[#This Row],[Date]],"MMMM")</f>
        <v>September</v>
      </c>
      <c r="B176">
        <f>MONTH(FinancialData[[#This Row],[Date]])</f>
        <v>9</v>
      </c>
      <c r="C176" t="str">
        <f>"Q"&amp;ROUNDUP(MONTH(FinancialData[[#This Row],[Date]])/3,0)</f>
        <v>Q3</v>
      </c>
      <c r="D176" s="8" t="s">
        <v>11</v>
      </c>
      <c r="E176" s="14">
        <v>9814492</v>
      </c>
      <c r="F176" s="14">
        <v>5074629</v>
      </c>
      <c r="G176" s="14">
        <v>4739863</v>
      </c>
      <c r="H176" s="6">
        <f>IFERROR(FinancialData[[#This Row],[Profit]]/FinancialData[[#This Row],[Revenue]],0)</f>
        <v>0.48294532208085755</v>
      </c>
      <c r="I176" s="6">
        <f>IFERROR(FinancialData[[#This Row],[Expenses]]/FinancialData[[#This Row],[Revenue]],0)</f>
        <v>0.51705467791914239</v>
      </c>
      <c r="J176" s="3">
        <v>45915</v>
      </c>
      <c r="K176">
        <v>2025</v>
      </c>
    </row>
    <row r="177" spans="1:11" x14ac:dyDescent="0.35">
      <c r="A177" t="str">
        <f>TEXT(FinancialData[[#This Row],[Date]],"MMMM")</f>
        <v>September</v>
      </c>
      <c r="B177">
        <f>MONTH(FinancialData[[#This Row],[Date]])</f>
        <v>9</v>
      </c>
      <c r="C177" t="str">
        <f>"Q"&amp;ROUNDUP(MONTH(FinancialData[[#This Row],[Date]])/3,0)</f>
        <v>Q3</v>
      </c>
      <c r="D177" s="8" t="s">
        <v>11</v>
      </c>
      <c r="E177" s="14">
        <v>9814492</v>
      </c>
      <c r="F177" s="14">
        <v>5074629</v>
      </c>
      <c r="G177" s="14">
        <v>4739863</v>
      </c>
      <c r="H177" s="6">
        <f>IFERROR(FinancialData[[#This Row],[Profit]]/FinancialData[[#This Row],[Revenue]],0)</f>
        <v>0.48294532208085755</v>
      </c>
      <c r="I177" s="6">
        <f>IFERROR(FinancialData[[#This Row],[Expenses]]/FinancialData[[#This Row],[Revenue]],0)</f>
        <v>0.51705467791914239</v>
      </c>
      <c r="J177" s="3">
        <v>45903</v>
      </c>
      <c r="K177">
        <v>2025</v>
      </c>
    </row>
    <row r="178" spans="1:11" x14ac:dyDescent="0.35">
      <c r="A178" t="str">
        <f>TEXT(FinancialData[[#This Row],[Date]],"MMMM")</f>
        <v>September</v>
      </c>
      <c r="B178">
        <f>MONTH(FinancialData[[#This Row],[Date]])</f>
        <v>9</v>
      </c>
      <c r="C178" t="str">
        <f>"Q"&amp;ROUNDUP(MONTH(FinancialData[[#This Row],[Date]])/3,0)</f>
        <v>Q3</v>
      </c>
      <c r="D178" s="8" t="s">
        <v>11</v>
      </c>
      <c r="E178" s="14">
        <v>10932582</v>
      </c>
      <c r="F178" s="14">
        <v>9516586</v>
      </c>
      <c r="G178" s="14">
        <v>1415996</v>
      </c>
      <c r="H178" s="6">
        <f>IFERROR(FinancialData[[#This Row],[Profit]]/FinancialData[[#This Row],[Revenue]],0)</f>
        <v>0.12952072986966848</v>
      </c>
      <c r="I178" s="6">
        <f>IFERROR(FinancialData[[#This Row],[Expenses]]/FinancialData[[#This Row],[Revenue]],0)</f>
        <v>0.87047927013033155</v>
      </c>
      <c r="J178" s="3">
        <v>45562</v>
      </c>
      <c r="K178">
        <v>2024</v>
      </c>
    </row>
    <row r="179" spans="1:11" x14ac:dyDescent="0.35">
      <c r="A179" t="str">
        <f>TEXT(FinancialData[[#This Row],[Date]],"MMMM")</f>
        <v>September</v>
      </c>
      <c r="B179">
        <f>MONTH(FinancialData[[#This Row],[Date]])</f>
        <v>9</v>
      </c>
      <c r="C179" t="str">
        <f>"Q"&amp;ROUNDUP(MONTH(FinancialData[[#This Row],[Date]])/3,0)</f>
        <v>Q3</v>
      </c>
      <c r="D179" s="8" t="s">
        <v>11</v>
      </c>
      <c r="E179" s="14">
        <v>6629660</v>
      </c>
      <c r="F179" s="14">
        <v>3523400</v>
      </c>
      <c r="G179" s="14">
        <v>3106260</v>
      </c>
      <c r="H179" s="6">
        <f>IFERROR(FinancialData[[#This Row],[Profit]]/FinancialData[[#This Row],[Revenue]],0)</f>
        <v>0.4685398647894462</v>
      </c>
      <c r="I179" s="6">
        <f>IFERROR(FinancialData[[#This Row],[Expenses]]/FinancialData[[#This Row],[Revenue]],0)</f>
        <v>0.5314601352105538</v>
      </c>
      <c r="J179" s="3">
        <v>45561</v>
      </c>
      <c r="K179">
        <v>2024</v>
      </c>
    </row>
    <row r="180" spans="1:11" x14ac:dyDescent="0.35">
      <c r="A180" t="str">
        <f>TEXT(FinancialData[[#This Row],[Date]],"MMMM")</f>
        <v>September</v>
      </c>
      <c r="B180">
        <f>MONTH(FinancialData[[#This Row],[Date]])</f>
        <v>9</v>
      </c>
      <c r="C180" t="str">
        <f>"Q"&amp;ROUNDUP(MONTH(FinancialData[[#This Row],[Date]])/3,0)</f>
        <v>Q3</v>
      </c>
      <c r="D180" s="8" t="s">
        <v>11</v>
      </c>
      <c r="E180" s="14">
        <v>3115955</v>
      </c>
      <c r="F180" s="14">
        <v>2888010</v>
      </c>
      <c r="G180" s="14">
        <v>227945</v>
      </c>
      <c r="H180" s="6">
        <f>IFERROR(FinancialData[[#This Row],[Profit]]/FinancialData[[#This Row],[Revenue]],0)</f>
        <v>7.3154137335102717E-2</v>
      </c>
      <c r="I180" s="6">
        <f>IFERROR(FinancialData[[#This Row],[Expenses]]/FinancialData[[#This Row],[Revenue]],0)</f>
        <v>0.92684586266489732</v>
      </c>
      <c r="J180" s="3">
        <v>45538</v>
      </c>
      <c r="K180">
        <v>2024</v>
      </c>
    </row>
    <row r="181" spans="1:11" x14ac:dyDescent="0.35">
      <c r="A181" t="str">
        <f>TEXT(FinancialData[[#This Row],[Date]],"MMMM")</f>
        <v>September</v>
      </c>
      <c r="B181">
        <f>MONTH(FinancialData[[#This Row],[Date]])</f>
        <v>9</v>
      </c>
      <c r="C181" t="str">
        <f>"Q"&amp;ROUNDUP(MONTH(FinancialData[[#This Row],[Date]])/3,0)</f>
        <v>Q3</v>
      </c>
      <c r="D181" s="8" t="s">
        <v>11</v>
      </c>
      <c r="E181" s="14">
        <v>10932582</v>
      </c>
      <c r="F181" s="14">
        <v>9516586</v>
      </c>
      <c r="G181" s="14">
        <v>1415996</v>
      </c>
      <c r="H181" s="6">
        <f>IFERROR(FinancialData[[#This Row],[Profit]]/FinancialData[[#This Row],[Revenue]],0)</f>
        <v>0.12952072986966848</v>
      </c>
      <c r="I181" s="6">
        <f>IFERROR(FinancialData[[#This Row],[Expenses]]/FinancialData[[#This Row],[Revenue]],0)</f>
        <v>0.87047927013033155</v>
      </c>
      <c r="J181" s="3">
        <v>45544</v>
      </c>
      <c r="K181">
        <v>2024</v>
      </c>
    </row>
    <row r="182" spans="1:11" x14ac:dyDescent="0.35">
      <c r="A182" t="str">
        <f>TEXT(FinancialData[[#This Row],[Date]],"MMMM")</f>
        <v>September</v>
      </c>
      <c r="B182">
        <f>MONTH(FinancialData[[#This Row],[Date]])</f>
        <v>9</v>
      </c>
      <c r="C182" t="str">
        <f>"Q"&amp;ROUNDUP(MONTH(FinancialData[[#This Row],[Date]])/3,0)</f>
        <v>Q3</v>
      </c>
      <c r="D182" s="8" t="s">
        <v>11</v>
      </c>
      <c r="E182" s="14">
        <v>10887632</v>
      </c>
      <c r="F182" s="14">
        <v>3314932</v>
      </c>
      <c r="G182" s="14">
        <v>7572700</v>
      </c>
      <c r="H182" s="6">
        <f>IFERROR(FinancialData[[#This Row],[Profit]]/FinancialData[[#This Row],[Revenue]],0)</f>
        <v>0.69553232511899743</v>
      </c>
      <c r="I182" s="6">
        <f>IFERROR(FinancialData[[#This Row],[Expenses]]/FinancialData[[#This Row],[Revenue]],0)</f>
        <v>0.30446767488100257</v>
      </c>
      <c r="J182" s="3">
        <v>45902</v>
      </c>
      <c r="K182">
        <v>2025</v>
      </c>
    </row>
    <row r="183" spans="1:11" x14ac:dyDescent="0.35">
      <c r="A183" t="str">
        <f>TEXT(FinancialData[[#This Row],[Date]],"MMMM")</f>
        <v>September</v>
      </c>
      <c r="B183">
        <f>MONTH(FinancialData[[#This Row],[Date]])</f>
        <v>9</v>
      </c>
      <c r="C183" t="str">
        <f>"Q"&amp;ROUNDUP(MONTH(FinancialData[[#This Row],[Date]])/3,0)</f>
        <v>Q3</v>
      </c>
      <c r="D183" s="8" t="s">
        <v>325</v>
      </c>
      <c r="E183" s="14">
        <v>13243123</v>
      </c>
      <c r="F183" s="14">
        <v>5468428</v>
      </c>
      <c r="G183" s="14">
        <v>7774695</v>
      </c>
      <c r="H183" s="6">
        <f>IFERROR(FinancialData[[#This Row],[Profit]]/FinancialData[[#This Row],[Revenue]],0)</f>
        <v>0.5870741365159865</v>
      </c>
      <c r="I183" s="6">
        <f>IFERROR(FinancialData[[#This Row],[Expenses]]/FinancialData[[#This Row],[Revenue]],0)</f>
        <v>0.41292586348401356</v>
      </c>
      <c r="J183" s="3">
        <v>45565</v>
      </c>
      <c r="K183">
        <v>2024</v>
      </c>
    </row>
    <row r="184" spans="1:11" x14ac:dyDescent="0.35">
      <c r="A184" t="str">
        <f>TEXT(FinancialData[[#This Row],[Date]],"MMMM")</f>
        <v>September</v>
      </c>
      <c r="B184">
        <f>MONTH(FinancialData[[#This Row],[Date]])</f>
        <v>9</v>
      </c>
      <c r="C184" t="str">
        <f>"Q"&amp;ROUNDUP(MONTH(FinancialData[[#This Row],[Date]])/3,0)</f>
        <v>Q3</v>
      </c>
      <c r="D184" s="8" t="s">
        <v>11</v>
      </c>
      <c r="E184" s="14">
        <v>2093322</v>
      </c>
      <c r="F184" s="14">
        <v>846252</v>
      </c>
      <c r="G184" s="14">
        <v>1247070</v>
      </c>
      <c r="H184" s="6">
        <f>IFERROR(FinancialData[[#This Row],[Profit]]/FinancialData[[#This Row],[Revenue]],0)</f>
        <v>0.59573730176246176</v>
      </c>
      <c r="I184" s="6">
        <f>IFERROR(FinancialData[[#This Row],[Expenses]]/FinancialData[[#This Row],[Revenue]],0)</f>
        <v>0.40426269823753824</v>
      </c>
      <c r="J184" s="3">
        <v>45910</v>
      </c>
      <c r="K184">
        <v>2025</v>
      </c>
    </row>
    <row r="185" spans="1:11" x14ac:dyDescent="0.35">
      <c r="A185" t="str">
        <f>TEXT(FinancialData[[#This Row],[Date]],"MMMM")</f>
        <v>September</v>
      </c>
      <c r="B185">
        <f>MONTH(FinancialData[[#This Row],[Date]])</f>
        <v>9</v>
      </c>
      <c r="C185" t="str">
        <f>"Q"&amp;ROUNDUP(MONTH(FinancialData[[#This Row],[Date]])/3,0)</f>
        <v>Q3</v>
      </c>
      <c r="D185" s="8" t="s">
        <v>11</v>
      </c>
      <c r="E185" s="14">
        <v>7409657</v>
      </c>
      <c r="F185" s="14">
        <v>6271336</v>
      </c>
      <c r="G185" s="14">
        <v>1138321</v>
      </c>
      <c r="H185" s="6">
        <f>IFERROR(FinancialData[[#This Row],[Profit]]/FinancialData[[#This Row],[Revenue]],0)</f>
        <v>0.15362667934561614</v>
      </c>
      <c r="I185" s="6">
        <f>IFERROR(FinancialData[[#This Row],[Expenses]]/FinancialData[[#This Row],[Revenue]],0)</f>
        <v>0.84637332065438386</v>
      </c>
      <c r="J185" s="3">
        <v>45913</v>
      </c>
      <c r="K185">
        <v>2025</v>
      </c>
    </row>
    <row r="186" spans="1:11" x14ac:dyDescent="0.35">
      <c r="A186" t="str">
        <f>TEXT(FinancialData[[#This Row],[Date]],"MMMM")</f>
        <v>September</v>
      </c>
      <c r="B186">
        <f>MONTH(FinancialData[[#This Row],[Date]])</f>
        <v>9</v>
      </c>
      <c r="C186" t="str">
        <f>"Q"&amp;ROUNDUP(MONTH(FinancialData[[#This Row],[Date]])/3,0)</f>
        <v>Q3</v>
      </c>
      <c r="D186" s="8" t="s">
        <v>325</v>
      </c>
      <c r="E186" s="14">
        <v>17872796</v>
      </c>
      <c r="F186" s="14">
        <v>4065021</v>
      </c>
      <c r="G186" s="14">
        <v>13807775</v>
      </c>
      <c r="H186" s="6">
        <f>IFERROR(FinancialData[[#This Row],[Profit]]/FinancialData[[#This Row],[Revenue]],0)</f>
        <v>0.77255819402851122</v>
      </c>
      <c r="I186" s="6">
        <f>IFERROR(FinancialData[[#This Row],[Expenses]]/FinancialData[[#This Row],[Revenue]],0)</f>
        <v>0.22744180597148875</v>
      </c>
      <c r="J186" s="3">
        <v>45904</v>
      </c>
      <c r="K186">
        <v>2025</v>
      </c>
    </row>
    <row r="187" spans="1:11" x14ac:dyDescent="0.35">
      <c r="A187" t="str">
        <f>TEXT(FinancialData[[#This Row],[Date]],"MMMM")</f>
        <v>September</v>
      </c>
      <c r="B187">
        <f>MONTH(FinancialData[[#This Row],[Date]])</f>
        <v>9</v>
      </c>
      <c r="C187" t="str">
        <f>"Q"&amp;ROUNDUP(MONTH(FinancialData[[#This Row],[Date]])/3,0)</f>
        <v>Q3</v>
      </c>
      <c r="D187" s="8" t="s">
        <v>11</v>
      </c>
      <c r="E187" s="14">
        <v>7409657</v>
      </c>
      <c r="F187" s="14">
        <v>6271336</v>
      </c>
      <c r="G187" s="14">
        <v>1138321</v>
      </c>
      <c r="H187" s="6">
        <f>IFERROR(FinancialData[[#This Row],[Profit]]/FinancialData[[#This Row],[Revenue]],0)</f>
        <v>0.15362667934561614</v>
      </c>
      <c r="I187" s="6">
        <f>IFERROR(FinancialData[[#This Row],[Expenses]]/FinancialData[[#This Row],[Revenue]],0)</f>
        <v>0.84637332065438386</v>
      </c>
      <c r="J187" s="3">
        <v>45905</v>
      </c>
      <c r="K187">
        <v>2025</v>
      </c>
    </row>
    <row r="188" spans="1:11" x14ac:dyDescent="0.35">
      <c r="A188" t="str">
        <f>TEXT(FinancialData[[#This Row],[Date]],"MMMM")</f>
        <v>September</v>
      </c>
      <c r="B188">
        <f>MONTH(FinancialData[[#This Row],[Date]])</f>
        <v>9</v>
      </c>
      <c r="C188" t="str">
        <f>"Q"&amp;ROUNDUP(MONTH(FinancialData[[#This Row],[Date]])/3,0)</f>
        <v>Q3</v>
      </c>
      <c r="D188" s="8" t="s">
        <v>325</v>
      </c>
      <c r="E188" s="14">
        <v>13243123</v>
      </c>
      <c r="F188" s="14">
        <v>5468428</v>
      </c>
      <c r="G188" s="14">
        <v>7774695</v>
      </c>
      <c r="H188" s="6">
        <f>IFERROR(FinancialData[[#This Row],[Profit]]/FinancialData[[#This Row],[Revenue]],0)</f>
        <v>0.5870741365159865</v>
      </c>
      <c r="I188" s="6">
        <f>IFERROR(FinancialData[[#This Row],[Expenses]]/FinancialData[[#This Row],[Revenue]],0)</f>
        <v>0.41292586348401356</v>
      </c>
      <c r="J188" s="3">
        <v>45563</v>
      </c>
      <c r="K188">
        <v>2024</v>
      </c>
    </row>
    <row r="189" spans="1:11" x14ac:dyDescent="0.35">
      <c r="A189" t="str">
        <f>TEXT(FinancialData[[#This Row],[Date]],"MMMM")</f>
        <v>September</v>
      </c>
      <c r="B189">
        <f>MONTH(FinancialData[[#This Row],[Date]])</f>
        <v>9</v>
      </c>
      <c r="C189" t="str">
        <f>"Q"&amp;ROUNDUP(MONTH(FinancialData[[#This Row],[Date]])/3,0)</f>
        <v>Q3</v>
      </c>
      <c r="D189" s="8" t="s">
        <v>325</v>
      </c>
      <c r="E189" s="14">
        <v>13395811</v>
      </c>
      <c r="F189" s="14">
        <v>8109917</v>
      </c>
      <c r="G189" s="14">
        <v>5285894</v>
      </c>
      <c r="H189" s="6">
        <f>IFERROR(FinancialData[[#This Row],[Profit]]/FinancialData[[#This Row],[Revenue]],0)</f>
        <v>0.39459305599339972</v>
      </c>
      <c r="I189" s="6">
        <f>IFERROR(FinancialData[[#This Row],[Expenses]]/FinancialData[[#This Row],[Revenue]],0)</f>
        <v>0.60540694400660022</v>
      </c>
      <c r="J189" s="3">
        <v>45561</v>
      </c>
      <c r="K189">
        <v>2024</v>
      </c>
    </row>
    <row r="190" spans="1:11" x14ac:dyDescent="0.35">
      <c r="A190" t="str">
        <f>TEXT(FinancialData[[#This Row],[Date]],"MMMM")</f>
        <v>September</v>
      </c>
      <c r="B190">
        <f>MONTH(FinancialData[[#This Row],[Date]])</f>
        <v>9</v>
      </c>
      <c r="C190" t="str">
        <f>"Q"&amp;ROUNDUP(MONTH(FinancialData[[#This Row],[Date]])/3,0)</f>
        <v>Q3</v>
      </c>
      <c r="D190" s="8" t="s">
        <v>325</v>
      </c>
      <c r="E190" s="14">
        <v>8925622</v>
      </c>
      <c r="F190" s="14">
        <v>7859625</v>
      </c>
      <c r="G190" s="14">
        <v>1065997</v>
      </c>
      <c r="H190" s="6">
        <f>IFERROR(FinancialData[[#This Row],[Profit]]/FinancialData[[#This Row],[Revenue]],0)</f>
        <v>0.11943111639726621</v>
      </c>
      <c r="I190" s="6">
        <f>IFERROR(FinancialData[[#This Row],[Expenses]]/FinancialData[[#This Row],[Revenue]],0)</f>
        <v>0.88056888360273378</v>
      </c>
      <c r="J190" s="3">
        <v>45925</v>
      </c>
      <c r="K190">
        <v>2025</v>
      </c>
    </row>
    <row r="191" spans="1:11" x14ac:dyDescent="0.35">
      <c r="A191" t="str">
        <f>TEXT(FinancialData[[#This Row],[Date]],"MMMM")</f>
        <v>September</v>
      </c>
      <c r="B191">
        <f>MONTH(FinancialData[[#This Row],[Date]])</f>
        <v>9</v>
      </c>
      <c r="C191" t="str">
        <f>"Q"&amp;ROUNDUP(MONTH(FinancialData[[#This Row],[Date]])/3,0)</f>
        <v>Q3</v>
      </c>
      <c r="D191" s="8" t="s">
        <v>325</v>
      </c>
      <c r="E191" s="14">
        <v>10422659</v>
      </c>
      <c r="F191" s="14">
        <v>8777125</v>
      </c>
      <c r="G191" s="14">
        <v>1645534</v>
      </c>
      <c r="H191" s="6">
        <f>IFERROR(FinancialData[[#This Row],[Profit]]/FinancialData[[#This Row],[Revenue]],0)</f>
        <v>0.15788044106595064</v>
      </c>
      <c r="I191" s="6">
        <f>IFERROR(FinancialData[[#This Row],[Expenses]]/FinancialData[[#This Row],[Revenue]],0)</f>
        <v>0.84211955893404933</v>
      </c>
      <c r="J191" s="3">
        <v>45549</v>
      </c>
      <c r="K191">
        <v>2024</v>
      </c>
    </row>
    <row r="192" spans="1:11" x14ac:dyDescent="0.35">
      <c r="A192" t="str">
        <f>TEXT(FinancialData[[#This Row],[Date]],"MMMM")</f>
        <v>September</v>
      </c>
      <c r="B192">
        <f>MONTH(FinancialData[[#This Row],[Date]])</f>
        <v>9</v>
      </c>
      <c r="C192" t="str">
        <f>"Q"&amp;ROUNDUP(MONTH(FinancialData[[#This Row],[Date]])/3,0)</f>
        <v>Q3</v>
      </c>
      <c r="D192" s="8" t="s">
        <v>325</v>
      </c>
      <c r="E192" s="14">
        <v>12433378</v>
      </c>
      <c r="F192" s="14">
        <v>3398230</v>
      </c>
      <c r="G192" s="14">
        <v>9035148</v>
      </c>
      <c r="H192" s="6">
        <f>IFERROR(FinancialData[[#This Row],[Profit]]/FinancialData[[#This Row],[Revenue]],0)</f>
        <v>0.72668489609179421</v>
      </c>
      <c r="I192" s="6">
        <f>IFERROR(FinancialData[[#This Row],[Expenses]]/FinancialData[[#This Row],[Revenue]],0)</f>
        <v>0.27331510390820579</v>
      </c>
      <c r="J192" s="3">
        <v>45565</v>
      </c>
      <c r="K192">
        <v>2024</v>
      </c>
    </row>
    <row r="193" spans="1:11" x14ac:dyDescent="0.35">
      <c r="A193" t="str">
        <f>TEXT(FinancialData[[#This Row],[Date]],"MMMM")</f>
        <v>September</v>
      </c>
      <c r="B193">
        <f>MONTH(FinancialData[[#This Row],[Date]])</f>
        <v>9</v>
      </c>
      <c r="C193" t="str">
        <f>"Q"&amp;ROUNDUP(MONTH(FinancialData[[#This Row],[Date]])/3,0)</f>
        <v>Q3</v>
      </c>
      <c r="D193" s="8" t="s">
        <v>11</v>
      </c>
      <c r="E193" s="14">
        <v>3115955</v>
      </c>
      <c r="F193" s="14">
        <v>2888010</v>
      </c>
      <c r="G193" s="14">
        <v>227945</v>
      </c>
      <c r="H193" s="6">
        <f>IFERROR(FinancialData[[#This Row],[Profit]]/FinancialData[[#This Row],[Revenue]],0)</f>
        <v>7.3154137335102717E-2</v>
      </c>
      <c r="I193" s="6">
        <f>IFERROR(FinancialData[[#This Row],[Expenses]]/FinancialData[[#This Row],[Revenue]],0)</f>
        <v>0.92684586266489732</v>
      </c>
      <c r="J193" s="3">
        <v>45563</v>
      </c>
      <c r="K193">
        <v>2024</v>
      </c>
    </row>
    <row r="194" spans="1:11" x14ac:dyDescent="0.35">
      <c r="A194" t="str">
        <f>TEXT(FinancialData[[#This Row],[Date]],"MMMM")</f>
        <v>September</v>
      </c>
      <c r="B194">
        <f>MONTH(FinancialData[[#This Row],[Date]])</f>
        <v>9</v>
      </c>
      <c r="C194" t="str">
        <f>"Q"&amp;ROUNDUP(MONTH(FinancialData[[#This Row],[Date]])/3,0)</f>
        <v>Q3</v>
      </c>
      <c r="D194" s="8" t="s">
        <v>325</v>
      </c>
      <c r="E194" s="14">
        <v>17872796</v>
      </c>
      <c r="F194" s="14">
        <v>4065021</v>
      </c>
      <c r="G194" s="14">
        <v>13807775</v>
      </c>
      <c r="H194" s="6">
        <f>IFERROR(FinancialData[[#This Row],[Profit]]/FinancialData[[#This Row],[Revenue]],0)</f>
        <v>0.77255819402851122</v>
      </c>
      <c r="I194" s="6">
        <f>IFERROR(FinancialData[[#This Row],[Expenses]]/FinancialData[[#This Row],[Revenue]],0)</f>
        <v>0.22744180597148875</v>
      </c>
      <c r="J194" s="3">
        <v>45902</v>
      </c>
      <c r="K194">
        <v>2025</v>
      </c>
    </row>
    <row r="195" spans="1:11" x14ac:dyDescent="0.35">
      <c r="A195" t="str">
        <f>TEXT(FinancialData[[#This Row],[Date]],"MMMM")</f>
        <v>September</v>
      </c>
      <c r="B195">
        <f>MONTH(FinancialData[[#This Row],[Date]])</f>
        <v>9</v>
      </c>
      <c r="C195" t="str">
        <f>"Q"&amp;ROUNDUP(MONTH(FinancialData[[#This Row],[Date]])/3,0)</f>
        <v>Q3</v>
      </c>
      <c r="D195" s="8" t="s">
        <v>325</v>
      </c>
      <c r="E195" s="14">
        <v>9406634</v>
      </c>
      <c r="F195" s="14">
        <v>1310092</v>
      </c>
      <c r="G195" s="14">
        <v>8096542</v>
      </c>
      <c r="H195" s="6">
        <f>IFERROR(FinancialData[[#This Row],[Profit]]/FinancialData[[#This Row],[Revenue]],0)</f>
        <v>0.8607268019570018</v>
      </c>
      <c r="I195" s="6">
        <f>IFERROR(FinancialData[[#This Row],[Expenses]]/FinancialData[[#This Row],[Revenue]],0)</f>
        <v>0.13927319804299818</v>
      </c>
      <c r="J195" s="3">
        <v>45545</v>
      </c>
      <c r="K195">
        <v>2024</v>
      </c>
    </row>
    <row r="196" spans="1:11" x14ac:dyDescent="0.35">
      <c r="A196" t="str">
        <f>TEXT(FinancialData[[#This Row],[Date]],"MMMM")</f>
        <v>September</v>
      </c>
      <c r="B196">
        <f>MONTH(FinancialData[[#This Row],[Date]])</f>
        <v>9</v>
      </c>
      <c r="C196" t="str">
        <f>"Q"&amp;ROUNDUP(MONTH(FinancialData[[#This Row],[Date]])/3,0)</f>
        <v>Q3</v>
      </c>
      <c r="D196" s="8" t="s">
        <v>325</v>
      </c>
      <c r="E196" s="14">
        <v>9406634</v>
      </c>
      <c r="F196" s="14">
        <v>1310092</v>
      </c>
      <c r="G196" s="14">
        <v>8096542</v>
      </c>
      <c r="H196" s="6">
        <f>IFERROR(FinancialData[[#This Row],[Profit]]/FinancialData[[#This Row],[Revenue]],0)</f>
        <v>0.8607268019570018</v>
      </c>
      <c r="I196" s="6">
        <f>IFERROR(FinancialData[[#This Row],[Expenses]]/FinancialData[[#This Row],[Revenue]],0)</f>
        <v>0.13927319804299818</v>
      </c>
      <c r="J196" s="3">
        <v>45915</v>
      </c>
      <c r="K196">
        <v>2025</v>
      </c>
    </row>
    <row r="197" spans="1:11" x14ac:dyDescent="0.35">
      <c r="A197" t="str">
        <f>TEXT(FinancialData[[#This Row],[Date]],"MMMM")</f>
        <v>October</v>
      </c>
      <c r="B197">
        <f>MONTH(FinancialData[[#This Row],[Date]])</f>
        <v>10</v>
      </c>
      <c r="C197" t="str">
        <f>"Q"&amp;ROUNDUP(MONTH(FinancialData[[#This Row],[Date]])/3,0)</f>
        <v>Q4</v>
      </c>
      <c r="D197" s="8" t="s">
        <v>325</v>
      </c>
      <c r="E197" s="14">
        <v>10655734</v>
      </c>
      <c r="F197" s="14">
        <v>2408508</v>
      </c>
      <c r="G197" s="14">
        <v>8247226</v>
      </c>
      <c r="H197" s="6">
        <f>IFERROR(FinancialData[[#This Row],[Profit]]/FinancialData[[#This Row],[Revenue]],0)</f>
        <v>0.77397070910366195</v>
      </c>
      <c r="I197" s="6">
        <f>IFERROR(FinancialData[[#This Row],[Expenses]]/FinancialData[[#This Row],[Revenue]],0)</f>
        <v>0.22602929089633805</v>
      </c>
      <c r="J197" s="3">
        <v>45592</v>
      </c>
      <c r="K197">
        <v>2024</v>
      </c>
    </row>
    <row r="198" spans="1:11" x14ac:dyDescent="0.35">
      <c r="A198" t="str">
        <f>TEXT(FinancialData[[#This Row],[Date]],"MMMM")</f>
        <v>October</v>
      </c>
      <c r="B198">
        <f>MONTH(FinancialData[[#This Row],[Date]])</f>
        <v>10</v>
      </c>
      <c r="C198" t="str">
        <f>"Q"&amp;ROUNDUP(MONTH(FinancialData[[#This Row],[Date]])/3,0)</f>
        <v>Q4</v>
      </c>
      <c r="D198" s="8" t="s">
        <v>11</v>
      </c>
      <c r="E198" s="14">
        <v>5297234</v>
      </c>
      <c r="F198" s="14">
        <v>3596622</v>
      </c>
      <c r="G198" s="14">
        <v>1700612</v>
      </c>
      <c r="H198" s="6">
        <f>IFERROR(FinancialData[[#This Row],[Profit]]/FinancialData[[#This Row],[Revenue]],0)</f>
        <v>0.32103773403251584</v>
      </c>
      <c r="I198" s="6">
        <f>IFERROR(FinancialData[[#This Row],[Expenses]]/FinancialData[[#This Row],[Revenue]],0)</f>
        <v>0.67896226596748421</v>
      </c>
      <c r="J198" s="3">
        <v>45934</v>
      </c>
      <c r="K198">
        <v>2025</v>
      </c>
    </row>
    <row r="199" spans="1:11" x14ac:dyDescent="0.35">
      <c r="A199" t="str">
        <f>TEXT(FinancialData[[#This Row],[Date]],"MMMM")</f>
        <v>October</v>
      </c>
      <c r="B199">
        <f>MONTH(FinancialData[[#This Row],[Date]])</f>
        <v>10</v>
      </c>
      <c r="C199" t="str">
        <f>"Q"&amp;ROUNDUP(MONTH(FinancialData[[#This Row],[Date]])/3,0)</f>
        <v>Q4</v>
      </c>
      <c r="D199" s="8" t="s">
        <v>325</v>
      </c>
      <c r="E199" s="14">
        <v>17772619</v>
      </c>
      <c r="F199" s="14">
        <v>3751148</v>
      </c>
      <c r="G199" s="14">
        <v>14021471</v>
      </c>
      <c r="H199" s="6">
        <f>IFERROR(FinancialData[[#This Row],[Profit]]/FinancialData[[#This Row],[Revenue]],0)</f>
        <v>0.78893667838150361</v>
      </c>
      <c r="I199" s="6">
        <f>IFERROR(FinancialData[[#This Row],[Expenses]]/FinancialData[[#This Row],[Revenue]],0)</f>
        <v>0.21106332161849642</v>
      </c>
      <c r="J199" s="3">
        <v>45948</v>
      </c>
      <c r="K199">
        <v>2025</v>
      </c>
    </row>
    <row r="200" spans="1:11" x14ac:dyDescent="0.35">
      <c r="A200" t="str">
        <f>TEXT(FinancialData[[#This Row],[Date]],"MMMM")</f>
        <v>October</v>
      </c>
      <c r="B200">
        <f>MONTH(FinancialData[[#This Row],[Date]])</f>
        <v>10</v>
      </c>
      <c r="C200" t="str">
        <f>"Q"&amp;ROUNDUP(MONTH(FinancialData[[#This Row],[Date]])/3,0)</f>
        <v>Q4</v>
      </c>
      <c r="D200" s="8" t="s">
        <v>11</v>
      </c>
      <c r="E200" s="14">
        <v>7713630</v>
      </c>
      <c r="F200" s="14">
        <v>1832250</v>
      </c>
      <c r="G200" s="14">
        <v>5881380</v>
      </c>
      <c r="H200" s="6">
        <f>IFERROR(FinancialData[[#This Row],[Profit]]/FinancialData[[#This Row],[Revenue]],0)</f>
        <v>0.7624659207143718</v>
      </c>
      <c r="I200" s="6">
        <f>IFERROR(FinancialData[[#This Row],[Expenses]]/FinancialData[[#This Row],[Revenue]],0)</f>
        <v>0.23753407928562817</v>
      </c>
      <c r="J200" s="3">
        <v>45576</v>
      </c>
      <c r="K200">
        <v>2024</v>
      </c>
    </row>
    <row r="201" spans="1:11" x14ac:dyDescent="0.35">
      <c r="A201" t="str">
        <f>TEXT(FinancialData[[#This Row],[Date]],"MMMM")</f>
        <v>October</v>
      </c>
      <c r="B201">
        <f>MONTH(FinancialData[[#This Row],[Date]])</f>
        <v>10</v>
      </c>
      <c r="C201" t="str">
        <f>"Q"&amp;ROUNDUP(MONTH(FinancialData[[#This Row],[Date]])/3,0)</f>
        <v>Q4</v>
      </c>
      <c r="D201" s="8" t="s">
        <v>325</v>
      </c>
      <c r="E201" s="14">
        <v>13395811</v>
      </c>
      <c r="F201" s="14">
        <v>8109917</v>
      </c>
      <c r="G201" s="14">
        <v>5285894</v>
      </c>
      <c r="H201" s="6">
        <f>IFERROR(FinancialData[[#This Row],[Profit]]/FinancialData[[#This Row],[Revenue]],0)</f>
        <v>0.39459305599339972</v>
      </c>
      <c r="I201" s="6">
        <f>IFERROR(FinancialData[[#This Row],[Expenses]]/FinancialData[[#This Row],[Revenue]],0)</f>
        <v>0.60540694400660022</v>
      </c>
      <c r="J201" s="3">
        <v>45946</v>
      </c>
      <c r="K201">
        <v>2025</v>
      </c>
    </row>
    <row r="202" spans="1:11" x14ac:dyDescent="0.35">
      <c r="A202" t="str">
        <f>TEXT(FinancialData[[#This Row],[Date]],"MMMM")</f>
        <v>October</v>
      </c>
      <c r="B202">
        <f>MONTH(FinancialData[[#This Row],[Date]])</f>
        <v>10</v>
      </c>
      <c r="C202" t="str">
        <f>"Q"&amp;ROUNDUP(MONTH(FinancialData[[#This Row],[Date]])/3,0)</f>
        <v>Q4</v>
      </c>
      <c r="D202" s="8" t="s">
        <v>11</v>
      </c>
      <c r="E202" s="14">
        <v>10932582</v>
      </c>
      <c r="F202" s="14">
        <v>9516586</v>
      </c>
      <c r="G202" s="14">
        <v>1415996</v>
      </c>
      <c r="H202" s="6">
        <f>IFERROR(FinancialData[[#This Row],[Profit]]/FinancialData[[#This Row],[Revenue]],0)</f>
        <v>0.12952072986966848</v>
      </c>
      <c r="I202" s="6">
        <f>IFERROR(FinancialData[[#This Row],[Expenses]]/FinancialData[[#This Row],[Revenue]],0)</f>
        <v>0.87047927013033155</v>
      </c>
      <c r="J202" s="3">
        <v>45957</v>
      </c>
      <c r="K202">
        <v>2025</v>
      </c>
    </row>
    <row r="203" spans="1:11" x14ac:dyDescent="0.35">
      <c r="A203" t="str">
        <f>TEXT(FinancialData[[#This Row],[Date]],"MMMM")</f>
        <v>October</v>
      </c>
      <c r="B203">
        <f>MONTH(FinancialData[[#This Row],[Date]])</f>
        <v>10</v>
      </c>
      <c r="C203" t="str">
        <f>"Q"&amp;ROUNDUP(MONTH(FinancialData[[#This Row],[Date]])/3,0)</f>
        <v>Q4</v>
      </c>
      <c r="D203" s="8" t="s">
        <v>325</v>
      </c>
      <c r="E203" s="14">
        <v>17872796</v>
      </c>
      <c r="F203" s="14">
        <v>4065021</v>
      </c>
      <c r="G203" s="14">
        <v>13807775</v>
      </c>
      <c r="H203" s="6">
        <f>IFERROR(FinancialData[[#This Row],[Profit]]/FinancialData[[#This Row],[Revenue]],0)</f>
        <v>0.77255819402851122</v>
      </c>
      <c r="I203" s="6">
        <f>IFERROR(FinancialData[[#This Row],[Expenses]]/FinancialData[[#This Row],[Revenue]],0)</f>
        <v>0.22744180597148875</v>
      </c>
      <c r="J203" s="3">
        <v>45946</v>
      </c>
      <c r="K203">
        <v>2025</v>
      </c>
    </row>
    <row r="204" spans="1:11" x14ac:dyDescent="0.35">
      <c r="A204" t="str">
        <f>TEXT(FinancialData[[#This Row],[Date]],"MMMM")</f>
        <v>October</v>
      </c>
      <c r="B204">
        <f>MONTH(FinancialData[[#This Row],[Date]])</f>
        <v>10</v>
      </c>
      <c r="C204" t="str">
        <f>"Q"&amp;ROUNDUP(MONTH(FinancialData[[#This Row],[Date]])/3,0)</f>
        <v>Q4</v>
      </c>
      <c r="D204" s="8" t="s">
        <v>325</v>
      </c>
      <c r="E204" s="14">
        <v>8925622</v>
      </c>
      <c r="F204" s="14">
        <v>7859625</v>
      </c>
      <c r="G204" s="14">
        <v>1065997</v>
      </c>
      <c r="H204" s="6">
        <f>IFERROR(FinancialData[[#This Row],[Profit]]/FinancialData[[#This Row],[Revenue]],0)</f>
        <v>0.11943111639726621</v>
      </c>
      <c r="I204" s="6">
        <f>IFERROR(FinancialData[[#This Row],[Expenses]]/FinancialData[[#This Row],[Revenue]],0)</f>
        <v>0.88056888360273378</v>
      </c>
      <c r="J204" s="3">
        <v>45566</v>
      </c>
      <c r="K204">
        <v>2024</v>
      </c>
    </row>
    <row r="205" spans="1:11" x14ac:dyDescent="0.35">
      <c r="A205" t="str">
        <f>TEXT(FinancialData[[#This Row],[Date]],"MMMM")</f>
        <v>October</v>
      </c>
      <c r="B205">
        <f>MONTH(FinancialData[[#This Row],[Date]])</f>
        <v>10</v>
      </c>
      <c r="C205" t="str">
        <f>"Q"&amp;ROUNDUP(MONTH(FinancialData[[#This Row],[Date]])/3,0)</f>
        <v>Q4</v>
      </c>
      <c r="D205" s="8" t="s">
        <v>11</v>
      </c>
      <c r="E205" s="14">
        <v>2093322</v>
      </c>
      <c r="F205" s="14">
        <v>846252</v>
      </c>
      <c r="G205" s="14">
        <v>1247070</v>
      </c>
      <c r="H205" s="6">
        <f>IFERROR(FinancialData[[#This Row],[Profit]]/FinancialData[[#This Row],[Revenue]],0)</f>
        <v>0.59573730176246176</v>
      </c>
      <c r="I205" s="6">
        <f>IFERROR(FinancialData[[#This Row],[Expenses]]/FinancialData[[#This Row],[Revenue]],0)</f>
        <v>0.40426269823753824</v>
      </c>
      <c r="J205" s="3">
        <v>45957</v>
      </c>
      <c r="K205">
        <v>2025</v>
      </c>
    </row>
    <row r="206" spans="1:11" x14ac:dyDescent="0.35">
      <c r="A206" t="str">
        <f>TEXT(FinancialData[[#This Row],[Date]],"MMMM")</f>
        <v>October</v>
      </c>
      <c r="B206">
        <f>MONTH(FinancialData[[#This Row],[Date]])</f>
        <v>10</v>
      </c>
      <c r="C206" t="str">
        <f>"Q"&amp;ROUNDUP(MONTH(FinancialData[[#This Row],[Date]])/3,0)</f>
        <v>Q4</v>
      </c>
      <c r="D206" s="8" t="s">
        <v>11</v>
      </c>
      <c r="E206" s="14">
        <v>7684666</v>
      </c>
      <c r="F206" s="14">
        <v>5053533</v>
      </c>
      <c r="G206" s="14">
        <v>2631133</v>
      </c>
      <c r="H206" s="6">
        <f>IFERROR(FinancialData[[#This Row],[Profit]]/FinancialData[[#This Row],[Revenue]],0)</f>
        <v>0.34238742451526194</v>
      </c>
      <c r="I206" s="6">
        <f>IFERROR(FinancialData[[#This Row],[Expenses]]/FinancialData[[#This Row],[Revenue]],0)</f>
        <v>0.65761257548473806</v>
      </c>
      <c r="J206" s="3">
        <v>45592</v>
      </c>
      <c r="K206">
        <v>2024</v>
      </c>
    </row>
    <row r="207" spans="1:11" x14ac:dyDescent="0.35">
      <c r="A207" t="str">
        <f>TEXT(FinancialData[[#This Row],[Date]],"MMMM")</f>
        <v>October</v>
      </c>
      <c r="B207">
        <f>MONTH(FinancialData[[#This Row],[Date]])</f>
        <v>10</v>
      </c>
      <c r="C207" t="str">
        <f>"Q"&amp;ROUNDUP(MONTH(FinancialData[[#This Row],[Date]])/3,0)</f>
        <v>Q4</v>
      </c>
      <c r="D207" s="8" t="s">
        <v>11</v>
      </c>
      <c r="E207" s="14">
        <v>7409657</v>
      </c>
      <c r="F207" s="14">
        <v>6271336</v>
      </c>
      <c r="G207" s="14">
        <v>1138321</v>
      </c>
      <c r="H207" s="6">
        <f>IFERROR(FinancialData[[#This Row],[Profit]]/FinancialData[[#This Row],[Revenue]],0)</f>
        <v>0.15362667934561614</v>
      </c>
      <c r="I207" s="6">
        <f>IFERROR(FinancialData[[#This Row],[Expenses]]/FinancialData[[#This Row],[Revenue]],0)</f>
        <v>0.84637332065438386</v>
      </c>
      <c r="J207" s="3">
        <v>45576</v>
      </c>
      <c r="K207">
        <v>2024</v>
      </c>
    </row>
    <row r="208" spans="1:11" x14ac:dyDescent="0.35">
      <c r="A208" t="str">
        <f>TEXT(FinancialData[[#This Row],[Date]],"MMMM")</f>
        <v>October</v>
      </c>
      <c r="B208">
        <f>MONTH(FinancialData[[#This Row],[Date]])</f>
        <v>10</v>
      </c>
      <c r="C208" t="str">
        <f>"Q"&amp;ROUNDUP(MONTH(FinancialData[[#This Row],[Date]])/3,0)</f>
        <v>Q4</v>
      </c>
      <c r="D208" s="8" t="s">
        <v>325</v>
      </c>
      <c r="E208" s="14">
        <v>13395142</v>
      </c>
      <c r="F208" s="14">
        <v>3866714</v>
      </c>
      <c r="G208" s="14">
        <v>9528428</v>
      </c>
      <c r="H208" s="6">
        <f>IFERROR(FinancialData[[#This Row],[Profit]]/FinancialData[[#This Row],[Revenue]],0)</f>
        <v>0.71133460175338192</v>
      </c>
      <c r="I208" s="6">
        <f>IFERROR(FinancialData[[#This Row],[Expenses]]/FinancialData[[#This Row],[Revenue]],0)</f>
        <v>0.28866539824661808</v>
      </c>
      <c r="J208" s="3">
        <v>45942</v>
      </c>
      <c r="K208">
        <v>2025</v>
      </c>
    </row>
    <row r="209" spans="1:11" x14ac:dyDescent="0.35">
      <c r="A209" t="str">
        <f>TEXT(FinancialData[[#This Row],[Date]],"MMMM")</f>
        <v>October</v>
      </c>
      <c r="B209">
        <f>MONTH(FinancialData[[#This Row],[Date]])</f>
        <v>10</v>
      </c>
      <c r="C209" t="str">
        <f>"Q"&amp;ROUNDUP(MONTH(FinancialData[[#This Row],[Date]])/3,0)</f>
        <v>Q4</v>
      </c>
      <c r="D209" s="8" t="s">
        <v>11</v>
      </c>
      <c r="E209" s="14">
        <v>10932582</v>
      </c>
      <c r="F209" s="14">
        <v>9516586</v>
      </c>
      <c r="G209" s="14">
        <v>1415996</v>
      </c>
      <c r="H209" s="6">
        <f>IFERROR(FinancialData[[#This Row],[Profit]]/FinancialData[[#This Row],[Revenue]],0)</f>
        <v>0.12952072986966848</v>
      </c>
      <c r="I209" s="6">
        <f>IFERROR(FinancialData[[#This Row],[Expenses]]/FinancialData[[#This Row],[Revenue]],0)</f>
        <v>0.87047927013033155</v>
      </c>
      <c r="J209" s="3">
        <v>45576</v>
      </c>
      <c r="K209">
        <v>2024</v>
      </c>
    </row>
    <row r="210" spans="1:11" x14ac:dyDescent="0.35">
      <c r="A210" t="str">
        <f>TEXT(FinancialData[[#This Row],[Date]],"MMMM")</f>
        <v>October</v>
      </c>
      <c r="B210">
        <f>MONTH(FinancialData[[#This Row],[Date]])</f>
        <v>10</v>
      </c>
      <c r="C210" t="str">
        <f>"Q"&amp;ROUNDUP(MONTH(FinancialData[[#This Row],[Date]])/3,0)</f>
        <v>Q4</v>
      </c>
      <c r="D210" s="8" t="s">
        <v>11</v>
      </c>
      <c r="E210" s="14">
        <v>2093322</v>
      </c>
      <c r="F210" s="14">
        <v>846252</v>
      </c>
      <c r="G210" s="14">
        <v>1247070</v>
      </c>
      <c r="H210" s="6">
        <f>IFERROR(FinancialData[[#This Row],[Profit]]/FinancialData[[#This Row],[Revenue]],0)</f>
        <v>0.59573730176246176</v>
      </c>
      <c r="I210" s="6">
        <f>IFERROR(FinancialData[[#This Row],[Expenses]]/FinancialData[[#This Row],[Revenue]],0)</f>
        <v>0.40426269823753824</v>
      </c>
      <c r="J210" s="3">
        <v>45947</v>
      </c>
      <c r="K210">
        <v>2025</v>
      </c>
    </row>
    <row r="211" spans="1:11" x14ac:dyDescent="0.35">
      <c r="A211" t="str">
        <f>TEXT(FinancialData[[#This Row],[Date]],"MMMM")</f>
        <v>October</v>
      </c>
      <c r="B211">
        <f>MONTH(FinancialData[[#This Row],[Date]])</f>
        <v>10</v>
      </c>
      <c r="C211" t="str">
        <f>"Q"&amp;ROUNDUP(MONTH(FinancialData[[#This Row],[Date]])/3,0)</f>
        <v>Q4</v>
      </c>
      <c r="D211" s="8" t="s">
        <v>11</v>
      </c>
      <c r="E211" s="14">
        <v>6641746</v>
      </c>
      <c r="F211" s="14">
        <v>2466037</v>
      </c>
      <c r="G211" s="14">
        <v>4175709</v>
      </c>
      <c r="H211" s="6">
        <f>IFERROR(FinancialData[[#This Row],[Profit]]/FinancialData[[#This Row],[Revenue]],0)</f>
        <v>0.62870651783431641</v>
      </c>
      <c r="I211" s="6">
        <f>IFERROR(FinancialData[[#This Row],[Expenses]]/FinancialData[[#This Row],[Revenue]],0)</f>
        <v>0.37129348216568353</v>
      </c>
      <c r="J211" s="3">
        <v>45568</v>
      </c>
      <c r="K211">
        <v>2024</v>
      </c>
    </row>
    <row r="212" spans="1:11" x14ac:dyDescent="0.35">
      <c r="A212" t="str">
        <f>TEXT(FinancialData[[#This Row],[Date]],"MMMM")</f>
        <v>October</v>
      </c>
      <c r="B212">
        <f>MONTH(FinancialData[[#This Row],[Date]])</f>
        <v>10</v>
      </c>
      <c r="C212" t="str">
        <f>"Q"&amp;ROUNDUP(MONTH(FinancialData[[#This Row],[Date]])/3,0)</f>
        <v>Q4</v>
      </c>
      <c r="D212" s="8" t="s">
        <v>11</v>
      </c>
      <c r="E212" s="14">
        <v>7713630</v>
      </c>
      <c r="F212" s="14">
        <v>1832250</v>
      </c>
      <c r="G212" s="14">
        <v>5881380</v>
      </c>
      <c r="H212" s="6">
        <f>IFERROR(FinancialData[[#This Row],[Profit]]/FinancialData[[#This Row],[Revenue]],0)</f>
        <v>0.7624659207143718</v>
      </c>
      <c r="I212" s="6">
        <f>IFERROR(FinancialData[[#This Row],[Expenses]]/FinancialData[[#This Row],[Revenue]],0)</f>
        <v>0.23753407928562817</v>
      </c>
      <c r="J212" s="3">
        <v>45950</v>
      </c>
      <c r="K212">
        <v>2025</v>
      </c>
    </row>
    <row r="213" spans="1:11" x14ac:dyDescent="0.35">
      <c r="A213" t="str">
        <f>TEXT(FinancialData[[#This Row],[Date]],"MMMM")</f>
        <v>October</v>
      </c>
      <c r="B213">
        <f>MONTH(FinancialData[[#This Row],[Date]])</f>
        <v>10</v>
      </c>
      <c r="C213" t="str">
        <f>"Q"&amp;ROUNDUP(MONTH(FinancialData[[#This Row],[Date]])/3,0)</f>
        <v>Q4</v>
      </c>
      <c r="D213" s="8" t="s">
        <v>325</v>
      </c>
      <c r="E213" s="14">
        <v>10422659</v>
      </c>
      <c r="F213" s="14">
        <v>8777125</v>
      </c>
      <c r="G213" s="14">
        <v>1645534</v>
      </c>
      <c r="H213" s="6">
        <f>IFERROR(FinancialData[[#This Row],[Profit]]/FinancialData[[#This Row],[Revenue]],0)</f>
        <v>0.15788044106595064</v>
      </c>
      <c r="I213" s="6">
        <f>IFERROR(FinancialData[[#This Row],[Expenses]]/FinancialData[[#This Row],[Revenue]],0)</f>
        <v>0.84211955893404933</v>
      </c>
      <c r="J213" s="3">
        <v>45573</v>
      </c>
      <c r="K213">
        <v>2024</v>
      </c>
    </row>
    <row r="214" spans="1:11" x14ac:dyDescent="0.35">
      <c r="A214" t="str">
        <f>TEXT(FinancialData[[#This Row],[Date]],"MMMM")</f>
        <v>October</v>
      </c>
      <c r="B214">
        <f>MONTH(FinancialData[[#This Row],[Date]])</f>
        <v>10</v>
      </c>
      <c r="C214" t="str">
        <f>"Q"&amp;ROUNDUP(MONTH(FinancialData[[#This Row],[Date]])/3,0)</f>
        <v>Q4</v>
      </c>
      <c r="D214" s="8" t="s">
        <v>11</v>
      </c>
      <c r="E214" s="14">
        <v>7713630</v>
      </c>
      <c r="F214" s="14">
        <v>1832250</v>
      </c>
      <c r="G214" s="14">
        <v>5881380</v>
      </c>
      <c r="H214" s="6">
        <f>IFERROR(FinancialData[[#This Row],[Profit]]/FinancialData[[#This Row],[Revenue]],0)</f>
        <v>0.7624659207143718</v>
      </c>
      <c r="I214" s="6">
        <f>IFERROR(FinancialData[[#This Row],[Expenses]]/FinancialData[[#This Row],[Revenue]],0)</f>
        <v>0.23753407928562817</v>
      </c>
      <c r="J214" s="3">
        <v>45588</v>
      </c>
      <c r="K214">
        <v>2024</v>
      </c>
    </row>
    <row r="215" spans="1:11" x14ac:dyDescent="0.35">
      <c r="A215" t="str">
        <f>TEXT(FinancialData[[#This Row],[Date]],"MMMM")</f>
        <v>October</v>
      </c>
      <c r="B215">
        <f>MONTH(FinancialData[[#This Row],[Date]])</f>
        <v>10</v>
      </c>
      <c r="C215" t="str">
        <f>"Q"&amp;ROUNDUP(MONTH(FinancialData[[#This Row],[Date]])/3,0)</f>
        <v>Q4</v>
      </c>
      <c r="D215" s="8" t="s">
        <v>325</v>
      </c>
      <c r="E215" s="14">
        <v>17772619</v>
      </c>
      <c r="F215" s="14">
        <v>3751148</v>
      </c>
      <c r="G215" s="14">
        <v>14021471</v>
      </c>
      <c r="H215" s="6">
        <f>IFERROR(FinancialData[[#This Row],[Profit]]/FinancialData[[#This Row],[Revenue]],0)</f>
        <v>0.78893667838150361</v>
      </c>
      <c r="I215" s="6">
        <f>IFERROR(FinancialData[[#This Row],[Expenses]]/FinancialData[[#This Row],[Revenue]],0)</f>
        <v>0.21106332161849642</v>
      </c>
      <c r="J215" s="3">
        <v>45955</v>
      </c>
      <c r="K215">
        <v>2025</v>
      </c>
    </row>
    <row r="216" spans="1:11" x14ac:dyDescent="0.35">
      <c r="A216" t="str">
        <f>TEXT(FinancialData[[#This Row],[Date]],"MMMM")</f>
        <v>November</v>
      </c>
      <c r="B216">
        <f>MONTH(FinancialData[[#This Row],[Date]])</f>
        <v>11</v>
      </c>
      <c r="C216" t="str">
        <f>"Q"&amp;ROUNDUP(MONTH(FinancialData[[#This Row],[Date]])/3,0)</f>
        <v>Q4</v>
      </c>
      <c r="D216" s="8" t="s">
        <v>11</v>
      </c>
      <c r="E216" s="14">
        <v>7713630</v>
      </c>
      <c r="F216" s="14">
        <v>1832250</v>
      </c>
      <c r="G216" s="14">
        <v>5881380</v>
      </c>
      <c r="H216" s="6">
        <f>IFERROR(FinancialData[[#This Row],[Profit]]/FinancialData[[#This Row],[Revenue]],0)</f>
        <v>0.7624659207143718</v>
      </c>
      <c r="I216" s="6">
        <f>IFERROR(FinancialData[[#This Row],[Expenses]]/FinancialData[[#This Row],[Revenue]],0)</f>
        <v>0.23753407928562817</v>
      </c>
      <c r="J216" s="3">
        <v>45988</v>
      </c>
      <c r="K216">
        <v>2025</v>
      </c>
    </row>
    <row r="217" spans="1:11" x14ac:dyDescent="0.35">
      <c r="A217" t="str">
        <f>TEXT(FinancialData[[#This Row],[Date]],"MMMM")</f>
        <v>November</v>
      </c>
      <c r="B217">
        <f>MONTH(FinancialData[[#This Row],[Date]])</f>
        <v>11</v>
      </c>
      <c r="C217" t="str">
        <f>"Q"&amp;ROUNDUP(MONTH(FinancialData[[#This Row],[Date]])/3,0)</f>
        <v>Q4</v>
      </c>
      <c r="D217" s="8" t="s">
        <v>325</v>
      </c>
      <c r="E217" s="14">
        <v>6659621</v>
      </c>
      <c r="F217" s="14">
        <v>5718412</v>
      </c>
      <c r="G217" s="14">
        <v>941209</v>
      </c>
      <c r="H217" s="6">
        <f>IFERROR(FinancialData[[#This Row],[Profit]]/FinancialData[[#This Row],[Revenue]],0)</f>
        <v>0.14133071536653513</v>
      </c>
      <c r="I217" s="6">
        <f>IFERROR(FinancialData[[#This Row],[Expenses]]/FinancialData[[#This Row],[Revenue]],0)</f>
        <v>0.85866928463346492</v>
      </c>
      <c r="J217" s="3">
        <v>45967</v>
      </c>
      <c r="K217">
        <v>2025</v>
      </c>
    </row>
    <row r="218" spans="1:11" x14ac:dyDescent="0.35">
      <c r="A218" t="str">
        <f>TEXT(FinancialData[[#This Row],[Date]],"MMMM")</f>
        <v>November</v>
      </c>
      <c r="B218">
        <f>MONTH(FinancialData[[#This Row],[Date]])</f>
        <v>11</v>
      </c>
      <c r="C218" t="str">
        <f>"Q"&amp;ROUNDUP(MONTH(FinancialData[[#This Row],[Date]])/3,0)</f>
        <v>Q4</v>
      </c>
      <c r="D218" s="8" t="s">
        <v>325</v>
      </c>
      <c r="E218" s="14">
        <v>6659621</v>
      </c>
      <c r="F218" s="14">
        <v>5718412</v>
      </c>
      <c r="G218" s="14">
        <v>941209</v>
      </c>
      <c r="H218" s="6">
        <f>IFERROR(FinancialData[[#This Row],[Profit]]/FinancialData[[#This Row],[Revenue]],0)</f>
        <v>0.14133071536653513</v>
      </c>
      <c r="I218" s="6">
        <f>IFERROR(FinancialData[[#This Row],[Expenses]]/FinancialData[[#This Row],[Revenue]],0)</f>
        <v>0.85866928463346492</v>
      </c>
      <c r="J218" s="3">
        <v>45988</v>
      </c>
      <c r="K218">
        <v>2025</v>
      </c>
    </row>
    <row r="219" spans="1:11" x14ac:dyDescent="0.35">
      <c r="A219" t="str">
        <f>TEXT(FinancialData[[#This Row],[Date]],"MMMM")</f>
        <v>November</v>
      </c>
      <c r="B219">
        <f>MONTH(FinancialData[[#This Row],[Date]])</f>
        <v>11</v>
      </c>
      <c r="C219" t="str">
        <f>"Q"&amp;ROUNDUP(MONTH(FinancialData[[#This Row],[Date]])/3,0)</f>
        <v>Q4</v>
      </c>
      <c r="D219" s="8" t="s">
        <v>11</v>
      </c>
      <c r="E219" s="14">
        <v>6629660</v>
      </c>
      <c r="F219" s="14">
        <v>3523400</v>
      </c>
      <c r="G219" s="14">
        <v>3106260</v>
      </c>
      <c r="H219" s="6">
        <f>IFERROR(FinancialData[[#This Row],[Profit]]/FinancialData[[#This Row],[Revenue]],0)</f>
        <v>0.4685398647894462</v>
      </c>
      <c r="I219" s="6">
        <f>IFERROR(FinancialData[[#This Row],[Expenses]]/FinancialData[[#This Row],[Revenue]],0)</f>
        <v>0.5314601352105538</v>
      </c>
      <c r="J219" s="3">
        <v>45611</v>
      </c>
      <c r="K219">
        <v>2024</v>
      </c>
    </row>
    <row r="220" spans="1:11" x14ac:dyDescent="0.35">
      <c r="A220" t="str">
        <f>TEXT(FinancialData[[#This Row],[Date]],"MMMM")</f>
        <v>November</v>
      </c>
      <c r="B220">
        <f>MONTH(FinancialData[[#This Row],[Date]])</f>
        <v>11</v>
      </c>
      <c r="C220" t="str">
        <f>"Q"&amp;ROUNDUP(MONTH(FinancialData[[#This Row],[Date]])/3,0)</f>
        <v>Q4</v>
      </c>
      <c r="D220" s="8" t="s">
        <v>11</v>
      </c>
      <c r="E220" s="14">
        <v>9814492</v>
      </c>
      <c r="F220" s="14">
        <v>5074629</v>
      </c>
      <c r="G220" s="14">
        <v>4739863</v>
      </c>
      <c r="H220" s="6">
        <f>IFERROR(FinancialData[[#This Row],[Profit]]/FinancialData[[#This Row],[Revenue]],0)</f>
        <v>0.48294532208085755</v>
      </c>
      <c r="I220" s="6">
        <f>IFERROR(FinancialData[[#This Row],[Expenses]]/FinancialData[[#This Row],[Revenue]],0)</f>
        <v>0.51705467791914239</v>
      </c>
      <c r="J220" s="3">
        <v>45614</v>
      </c>
      <c r="K220">
        <v>2024</v>
      </c>
    </row>
    <row r="221" spans="1:11" x14ac:dyDescent="0.35">
      <c r="A221" t="str">
        <f>TEXT(FinancialData[[#This Row],[Date]],"MMMM")</f>
        <v>November</v>
      </c>
      <c r="B221">
        <f>MONTH(FinancialData[[#This Row],[Date]])</f>
        <v>11</v>
      </c>
      <c r="C221" t="str">
        <f>"Q"&amp;ROUNDUP(MONTH(FinancialData[[#This Row],[Date]])/3,0)</f>
        <v>Q4</v>
      </c>
      <c r="D221" s="8" t="s">
        <v>11</v>
      </c>
      <c r="E221" s="14">
        <v>5297234</v>
      </c>
      <c r="F221" s="14">
        <v>3596622</v>
      </c>
      <c r="G221" s="14">
        <v>1700612</v>
      </c>
      <c r="H221" s="6">
        <f>IFERROR(FinancialData[[#This Row],[Profit]]/FinancialData[[#This Row],[Revenue]],0)</f>
        <v>0.32103773403251584</v>
      </c>
      <c r="I221" s="6">
        <f>IFERROR(FinancialData[[#This Row],[Expenses]]/FinancialData[[#This Row],[Revenue]],0)</f>
        <v>0.67896226596748421</v>
      </c>
      <c r="J221" s="3">
        <v>45969</v>
      </c>
      <c r="K221">
        <v>2025</v>
      </c>
    </row>
    <row r="222" spans="1:11" x14ac:dyDescent="0.35">
      <c r="A222" t="str">
        <f>TEXT(FinancialData[[#This Row],[Date]],"MMMM")</f>
        <v>November</v>
      </c>
      <c r="B222">
        <f>MONTH(FinancialData[[#This Row],[Date]])</f>
        <v>11</v>
      </c>
      <c r="C222" t="str">
        <f>"Q"&amp;ROUNDUP(MONTH(FinancialData[[#This Row],[Date]])/3,0)</f>
        <v>Q4</v>
      </c>
      <c r="D222" s="8" t="s">
        <v>325</v>
      </c>
      <c r="E222" s="14">
        <v>10655734</v>
      </c>
      <c r="F222" s="14">
        <v>2408508</v>
      </c>
      <c r="G222" s="14">
        <v>8247226</v>
      </c>
      <c r="H222" s="6">
        <f>IFERROR(FinancialData[[#This Row],[Profit]]/FinancialData[[#This Row],[Revenue]],0)</f>
        <v>0.77397070910366195</v>
      </c>
      <c r="I222" s="6">
        <f>IFERROR(FinancialData[[#This Row],[Expenses]]/FinancialData[[#This Row],[Revenue]],0)</f>
        <v>0.22602929089633805</v>
      </c>
      <c r="J222" s="3">
        <v>45978</v>
      </c>
      <c r="K222">
        <v>2025</v>
      </c>
    </row>
    <row r="223" spans="1:11" x14ac:dyDescent="0.35">
      <c r="A223" t="str">
        <f>TEXT(FinancialData[[#This Row],[Date]],"MMMM")</f>
        <v>November</v>
      </c>
      <c r="B223">
        <f>MONTH(FinancialData[[#This Row],[Date]])</f>
        <v>11</v>
      </c>
      <c r="C223" t="str">
        <f>"Q"&amp;ROUNDUP(MONTH(FinancialData[[#This Row],[Date]])/3,0)</f>
        <v>Q4</v>
      </c>
      <c r="D223" s="8" t="s">
        <v>325</v>
      </c>
      <c r="E223" s="14">
        <v>6659621</v>
      </c>
      <c r="F223" s="14">
        <v>5718412</v>
      </c>
      <c r="G223" s="14">
        <v>941209</v>
      </c>
      <c r="H223" s="6">
        <f>IFERROR(FinancialData[[#This Row],[Profit]]/FinancialData[[#This Row],[Revenue]],0)</f>
        <v>0.14133071536653513</v>
      </c>
      <c r="I223" s="6">
        <f>IFERROR(FinancialData[[#This Row],[Expenses]]/FinancialData[[#This Row],[Revenue]],0)</f>
        <v>0.85866928463346492</v>
      </c>
      <c r="J223" s="3">
        <v>45606</v>
      </c>
      <c r="K223">
        <v>2024</v>
      </c>
    </row>
    <row r="224" spans="1:11" x14ac:dyDescent="0.35">
      <c r="A224" t="str">
        <f>TEXT(FinancialData[[#This Row],[Date]],"MMMM")</f>
        <v>November</v>
      </c>
      <c r="B224">
        <f>MONTH(FinancialData[[#This Row],[Date]])</f>
        <v>11</v>
      </c>
      <c r="C224" t="str">
        <f>"Q"&amp;ROUNDUP(MONTH(FinancialData[[#This Row],[Date]])/3,0)</f>
        <v>Q4</v>
      </c>
      <c r="D224" s="8" t="s">
        <v>325</v>
      </c>
      <c r="E224" s="14">
        <v>12433378</v>
      </c>
      <c r="F224" s="14">
        <v>3398230</v>
      </c>
      <c r="G224" s="14">
        <v>9035148</v>
      </c>
      <c r="H224" s="6">
        <f>IFERROR(FinancialData[[#This Row],[Profit]]/FinancialData[[#This Row],[Revenue]],0)</f>
        <v>0.72668489609179421</v>
      </c>
      <c r="I224" s="6">
        <f>IFERROR(FinancialData[[#This Row],[Expenses]]/FinancialData[[#This Row],[Revenue]],0)</f>
        <v>0.27331510390820579</v>
      </c>
      <c r="J224" s="3">
        <v>45984</v>
      </c>
      <c r="K224">
        <v>2025</v>
      </c>
    </row>
    <row r="225" spans="1:11" x14ac:dyDescent="0.35">
      <c r="A225" t="str">
        <f>TEXT(FinancialData[[#This Row],[Date]],"MMMM")</f>
        <v>November</v>
      </c>
      <c r="B225">
        <f>MONTH(FinancialData[[#This Row],[Date]])</f>
        <v>11</v>
      </c>
      <c r="C225" t="str">
        <f>"Q"&amp;ROUNDUP(MONTH(FinancialData[[#This Row],[Date]])/3,0)</f>
        <v>Q4</v>
      </c>
      <c r="D225" s="8" t="s">
        <v>11</v>
      </c>
      <c r="E225" s="14">
        <v>3115955</v>
      </c>
      <c r="F225" s="14">
        <v>2888010</v>
      </c>
      <c r="G225" s="14">
        <v>227945</v>
      </c>
      <c r="H225" s="6">
        <f>IFERROR(FinancialData[[#This Row],[Profit]]/FinancialData[[#This Row],[Revenue]],0)</f>
        <v>7.3154137335102717E-2</v>
      </c>
      <c r="I225" s="6">
        <f>IFERROR(FinancialData[[#This Row],[Expenses]]/FinancialData[[#This Row],[Revenue]],0)</f>
        <v>0.92684586266489732</v>
      </c>
      <c r="J225" s="3">
        <v>45979</v>
      </c>
      <c r="K225">
        <v>2025</v>
      </c>
    </row>
    <row r="226" spans="1:11" x14ac:dyDescent="0.35">
      <c r="A226" t="str">
        <f>TEXT(FinancialData[[#This Row],[Date]],"MMMM")</f>
        <v>November</v>
      </c>
      <c r="B226">
        <f>MONTH(FinancialData[[#This Row],[Date]])</f>
        <v>11</v>
      </c>
      <c r="C226" t="str">
        <f>"Q"&amp;ROUNDUP(MONTH(FinancialData[[#This Row],[Date]])/3,0)</f>
        <v>Q4</v>
      </c>
      <c r="D226" s="8" t="s">
        <v>325</v>
      </c>
      <c r="E226" s="14">
        <v>10422659</v>
      </c>
      <c r="F226" s="14">
        <v>8777125</v>
      </c>
      <c r="G226" s="14">
        <v>1645534</v>
      </c>
      <c r="H226" s="6">
        <f>IFERROR(FinancialData[[#This Row],[Profit]]/FinancialData[[#This Row],[Revenue]],0)</f>
        <v>0.15788044106595064</v>
      </c>
      <c r="I226" s="6">
        <f>IFERROR(FinancialData[[#This Row],[Expenses]]/FinancialData[[#This Row],[Revenue]],0)</f>
        <v>0.84211955893404933</v>
      </c>
      <c r="J226" s="3">
        <v>45977</v>
      </c>
      <c r="K226">
        <v>2025</v>
      </c>
    </row>
    <row r="227" spans="1:11" x14ac:dyDescent="0.35">
      <c r="A227" t="str">
        <f>TEXT(FinancialData[[#This Row],[Date]],"MMMM")</f>
        <v>November</v>
      </c>
      <c r="B227">
        <f>MONTH(FinancialData[[#This Row],[Date]])</f>
        <v>11</v>
      </c>
      <c r="C227" t="str">
        <f>"Q"&amp;ROUNDUP(MONTH(FinancialData[[#This Row],[Date]])/3,0)</f>
        <v>Q4</v>
      </c>
      <c r="D227" s="8" t="s">
        <v>325</v>
      </c>
      <c r="E227" s="14">
        <v>13243123</v>
      </c>
      <c r="F227" s="14">
        <v>5468428</v>
      </c>
      <c r="G227" s="14">
        <v>7774695</v>
      </c>
      <c r="H227" s="6">
        <f>IFERROR(FinancialData[[#This Row],[Profit]]/FinancialData[[#This Row],[Revenue]],0)</f>
        <v>0.5870741365159865</v>
      </c>
      <c r="I227" s="6">
        <f>IFERROR(FinancialData[[#This Row],[Expenses]]/FinancialData[[#This Row],[Revenue]],0)</f>
        <v>0.41292586348401356</v>
      </c>
      <c r="J227" s="3">
        <v>45991</v>
      </c>
      <c r="K227">
        <v>2025</v>
      </c>
    </row>
    <row r="228" spans="1:11" x14ac:dyDescent="0.35">
      <c r="A228" t="str">
        <f>TEXT(FinancialData[[#This Row],[Date]],"MMMM")</f>
        <v>November</v>
      </c>
      <c r="B228">
        <f>MONTH(FinancialData[[#This Row],[Date]])</f>
        <v>11</v>
      </c>
      <c r="C228" t="str">
        <f>"Q"&amp;ROUNDUP(MONTH(FinancialData[[#This Row],[Date]])/3,0)</f>
        <v>Q4</v>
      </c>
      <c r="D228" s="8" t="s">
        <v>325</v>
      </c>
      <c r="E228" s="14">
        <v>10422659</v>
      </c>
      <c r="F228" s="14">
        <v>8777125</v>
      </c>
      <c r="G228" s="14">
        <v>1645534</v>
      </c>
      <c r="H228" s="6">
        <f>IFERROR(FinancialData[[#This Row],[Profit]]/FinancialData[[#This Row],[Revenue]],0)</f>
        <v>0.15788044106595064</v>
      </c>
      <c r="I228" s="6">
        <f>IFERROR(FinancialData[[#This Row],[Expenses]]/FinancialData[[#This Row],[Revenue]],0)</f>
        <v>0.84211955893404933</v>
      </c>
      <c r="J228" s="3">
        <v>45624</v>
      </c>
      <c r="K228">
        <v>2024</v>
      </c>
    </row>
    <row r="229" spans="1:11" x14ac:dyDescent="0.35">
      <c r="A229" t="str">
        <f>TEXT(FinancialData[[#This Row],[Date]],"MMMM")</f>
        <v>November</v>
      </c>
      <c r="B229">
        <f>MONTH(FinancialData[[#This Row],[Date]])</f>
        <v>11</v>
      </c>
      <c r="C229" t="str">
        <f>"Q"&amp;ROUNDUP(MONTH(FinancialData[[#This Row],[Date]])/3,0)</f>
        <v>Q4</v>
      </c>
      <c r="D229" s="8" t="s">
        <v>11</v>
      </c>
      <c r="E229" s="14">
        <v>9814492</v>
      </c>
      <c r="F229" s="14">
        <v>5074629</v>
      </c>
      <c r="G229" s="14">
        <v>4739863</v>
      </c>
      <c r="H229" s="6">
        <f>IFERROR(FinancialData[[#This Row],[Profit]]/FinancialData[[#This Row],[Revenue]],0)</f>
        <v>0.48294532208085755</v>
      </c>
      <c r="I229" s="6">
        <f>IFERROR(FinancialData[[#This Row],[Expenses]]/FinancialData[[#This Row],[Revenue]],0)</f>
        <v>0.51705467791914239</v>
      </c>
      <c r="J229" s="3">
        <v>45623</v>
      </c>
      <c r="K229">
        <v>2024</v>
      </c>
    </row>
    <row r="230" spans="1:11" x14ac:dyDescent="0.35">
      <c r="A230" t="str">
        <f>TEXT(FinancialData[[#This Row],[Date]],"MMMM")</f>
        <v>November</v>
      </c>
      <c r="B230">
        <f>MONTH(FinancialData[[#This Row],[Date]])</f>
        <v>11</v>
      </c>
      <c r="C230" t="str">
        <f>"Q"&amp;ROUNDUP(MONTH(FinancialData[[#This Row],[Date]])/3,0)</f>
        <v>Q4</v>
      </c>
      <c r="D230" s="8" t="s">
        <v>325</v>
      </c>
      <c r="E230" s="14">
        <v>12433378</v>
      </c>
      <c r="F230" s="14">
        <v>3398230</v>
      </c>
      <c r="G230" s="14">
        <v>9035148</v>
      </c>
      <c r="H230" s="6">
        <f>IFERROR(FinancialData[[#This Row],[Profit]]/FinancialData[[#This Row],[Revenue]],0)</f>
        <v>0.72668489609179421</v>
      </c>
      <c r="I230" s="6">
        <f>IFERROR(FinancialData[[#This Row],[Expenses]]/FinancialData[[#This Row],[Revenue]],0)</f>
        <v>0.27331510390820579</v>
      </c>
      <c r="J230" s="3">
        <v>45990</v>
      </c>
      <c r="K230">
        <v>2025</v>
      </c>
    </row>
    <row r="231" spans="1:11" x14ac:dyDescent="0.35">
      <c r="A231" t="str">
        <f>TEXT(FinancialData[[#This Row],[Date]],"MMMM")</f>
        <v>November</v>
      </c>
      <c r="B231">
        <f>MONTH(FinancialData[[#This Row],[Date]])</f>
        <v>11</v>
      </c>
      <c r="C231" t="str">
        <f>"Q"&amp;ROUNDUP(MONTH(FinancialData[[#This Row],[Date]])/3,0)</f>
        <v>Q4</v>
      </c>
      <c r="D231" s="8" t="s">
        <v>325</v>
      </c>
      <c r="E231" s="14">
        <v>10655734</v>
      </c>
      <c r="F231" s="14">
        <v>2408508</v>
      </c>
      <c r="G231" s="14">
        <v>8247226</v>
      </c>
      <c r="H231" s="6">
        <f>IFERROR(FinancialData[[#This Row],[Profit]]/FinancialData[[#This Row],[Revenue]],0)</f>
        <v>0.77397070910366195</v>
      </c>
      <c r="I231" s="6">
        <f>IFERROR(FinancialData[[#This Row],[Expenses]]/FinancialData[[#This Row],[Revenue]],0)</f>
        <v>0.22602929089633805</v>
      </c>
      <c r="J231" s="3">
        <v>45615</v>
      </c>
      <c r="K231">
        <v>2024</v>
      </c>
    </row>
    <row r="232" spans="1:11" x14ac:dyDescent="0.35">
      <c r="A232" t="str">
        <f>TEXT(FinancialData[[#This Row],[Date]],"MMMM")</f>
        <v>December</v>
      </c>
      <c r="B232">
        <f>MONTH(FinancialData[[#This Row],[Date]])</f>
        <v>12</v>
      </c>
      <c r="C232" t="str">
        <f>"Q"&amp;ROUNDUP(MONTH(FinancialData[[#This Row],[Date]])/3,0)</f>
        <v>Q4</v>
      </c>
      <c r="D232" s="8" t="s">
        <v>325</v>
      </c>
      <c r="E232" s="14">
        <v>8925622</v>
      </c>
      <c r="F232" s="14">
        <v>7859625</v>
      </c>
      <c r="G232" s="14">
        <v>1065997</v>
      </c>
      <c r="H232" s="6">
        <f>IFERROR(FinancialData[[#This Row],[Profit]]/FinancialData[[#This Row],[Revenue]],0)</f>
        <v>0.11943111639726621</v>
      </c>
      <c r="I232" s="6">
        <f>IFERROR(FinancialData[[#This Row],[Expenses]]/FinancialData[[#This Row],[Revenue]],0)</f>
        <v>0.88056888360273378</v>
      </c>
      <c r="J232" s="3">
        <v>46010</v>
      </c>
      <c r="K232">
        <v>2025</v>
      </c>
    </row>
    <row r="233" spans="1:11" x14ac:dyDescent="0.35">
      <c r="A233" t="str">
        <f>TEXT(FinancialData[[#This Row],[Date]],"MMMM")</f>
        <v>December</v>
      </c>
      <c r="B233">
        <f>MONTH(FinancialData[[#This Row],[Date]])</f>
        <v>12</v>
      </c>
      <c r="C233" t="str">
        <f>"Q"&amp;ROUNDUP(MONTH(FinancialData[[#This Row],[Date]])/3,0)</f>
        <v>Q4</v>
      </c>
      <c r="D233" s="8" t="s">
        <v>11</v>
      </c>
      <c r="E233" s="14">
        <v>5297234</v>
      </c>
      <c r="F233" s="14">
        <v>3596622</v>
      </c>
      <c r="G233" s="14">
        <v>1700612</v>
      </c>
      <c r="H233" s="6">
        <f>IFERROR(FinancialData[[#This Row],[Profit]]/FinancialData[[#This Row],[Revenue]],0)</f>
        <v>0.32103773403251584</v>
      </c>
      <c r="I233" s="6">
        <f>IFERROR(FinancialData[[#This Row],[Expenses]]/FinancialData[[#This Row],[Revenue]],0)</f>
        <v>0.67896226596748421</v>
      </c>
      <c r="J233" s="3">
        <v>46016</v>
      </c>
      <c r="K233">
        <v>2025</v>
      </c>
    </row>
    <row r="234" spans="1:11" x14ac:dyDescent="0.35">
      <c r="A234" t="str">
        <f>TEXT(FinancialData[[#This Row],[Date]],"MMMM")</f>
        <v>December</v>
      </c>
      <c r="B234">
        <f>MONTH(FinancialData[[#This Row],[Date]])</f>
        <v>12</v>
      </c>
      <c r="C234" t="str">
        <f>"Q"&amp;ROUNDUP(MONTH(FinancialData[[#This Row],[Date]])/3,0)</f>
        <v>Q4</v>
      </c>
      <c r="D234" s="8" t="s">
        <v>325</v>
      </c>
      <c r="E234" s="14">
        <v>9166769</v>
      </c>
      <c r="F234" s="14">
        <v>7049977</v>
      </c>
      <c r="G234" s="14">
        <v>2116792</v>
      </c>
      <c r="H234" s="6">
        <f>IFERROR(FinancialData[[#This Row],[Profit]]/FinancialData[[#This Row],[Revenue]],0)</f>
        <v>0.23092018572738116</v>
      </c>
      <c r="I234" s="6">
        <f>IFERROR(FinancialData[[#This Row],[Expenses]]/FinancialData[[#This Row],[Revenue]],0)</f>
        <v>0.76907981427261884</v>
      </c>
      <c r="J234" s="3">
        <v>45655</v>
      </c>
      <c r="K234">
        <v>2024</v>
      </c>
    </row>
    <row r="235" spans="1:11" x14ac:dyDescent="0.35">
      <c r="A235" t="str">
        <f>TEXT(FinancialData[[#This Row],[Date]],"MMMM")</f>
        <v>December</v>
      </c>
      <c r="B235">
        <f>MONTH(FinancialData[[#This Row],[Date]])</f>
        <v>12</v>
      </c>
      <c r="C235" t="str">
        <f>"Q"&amp;ROUNDUP(MONTH(FinancialData[[#This Row],[Date]])/3,0)</f>
        <v>Q4</v>
      </c>
      <c r="D235" s="8" t="s">
        <v>325</v>
      </c>
      <c r="E235" s="14">
        <v>9406634</v>
      </c>
      <c r="F235" s="14">
        <v>1310092</v>
      </c>
      <c r="G235" s="14">
        <v>8096542</v>
      </c>
      <c r="H235" s="6">
        <f>IFERROR(FinancialData[[#This Row],[Profit]]/FinancialData[[#This Row],[Revenue]],0)</f>
        <v>0.8607268019570018</v>
      </c>
      <c r="I235" s="6">
        <f>IFERROR(FinancialData[[#This Row],[Expenses]]/FinancialData[[#This Row],[Revenue]],0)</f>
        <v>0.13927319804299818</v>
      </c>
      <c r="J235" s="3">
        <v>45996</v>
      </c>
      <c r="K235">
        <v>2025</v>
      </c>
    </row>
    <row r="236" spans="1:11" x14ac:dyDescent="0.35">
      <c r="A236" t="str">
        <f>TEXT(FinancialData[[#This Row],[Date]],"MMMM")</f>
        <v>December</v>
      </c>
      <c r="B236">
        <f>MONTH(FinancialData[[#This Row],[Date]])</f>
        <v>12</v>
      </c>
      <c r="C236" t="str">
        <f>"Q"&amp;ROUNDUP(MONTH(FinancialData[[#This Row],[Date]])/3,0)</f>
        <v>Q4</v>
      </c>
      <c r="D236" s="8" t="s">
        <v>325</v>
      </c>
      <c r="E236" s="14">
        <v>10655734</v>
      </c>
      <c r="F236" s="14">
        <v>2408508</v>
      </c>
      <c r="G236" s="14">
        <v>8247226</v>
      </c>
      <c r="H236" s="6">
        <f>IFERROR(FinancialData[[#This Row],[Profit]]/FinancialData[[#This Row],[Revenue]],0)</f>
        <v>0.77397070910366195</v>
      </c>
      <c r="I236" s="6">
        <f>IFERROR(FinancialData[[#This Row],[Expenses]]/FinancialData[[#This Row],[Revenue]],0)</f>
        <v>0.22602929089633805</v>
      </c>
      <c r="J236" s="3">
        <v>45638</v>
      </c>
      <c r="K236">
        <v>2024</v>
      </c>
    </row>
    <row r="237" spans="1:11" x14ac:dyDescent="0.35">
      <c r="A237" t="str">
        <f>TEXT(FinancialData[[#This Row],[Date]],"MMMM")</f>
        <v>December</v>
      </c>
      <c r="B237">
        <f>MONTH(FinancialData[[#This Row],[Date]])</f>
        <v>12</v>
      </c>
      <c r="C237" t="str">
        <f>"Q"&amp;ROUNDUP(MONTH(FinancialData[[#This Row],[Date]])/3,0)</f>
        <v>Q4</v>
      </c>
      <c r="D237" s="8" t="s">
        <v>325</v>
      </c>
      <c r="E237" s="14">
        <v>17772619</v>
      </c>
      <c r="F237" s="14">
        <v>3751148</v>
      </c>
      <c r="G237" s="14">
        <v>14021471</v>
      </c>
      <c r="H237" s="6">
        <f>IFERROR(FinancialData[[#This Row],[Profit]]/FinancialData[[#This Row],[Revenue]],0)</f>
        <v>0.78893667838150361</v>
      </c>
      <c r="I237" s="6">
        <f>IFERROR(FinancialData[[#This Row],[Expenses]]/FinancialData[[#This Row],[Revenue]],0)</f>
        <v>0.21106332161849642</v>
      </c>
      <c r="J237" s="3">
        <v>45640</v>
      </c>
      <c r="K237">
        <v>2024</v>
      </c>
    </row>
    <row r="238" spans="1:11" x14ac:dyDescent="0.35">
      <c r="A238" t="str">
        <f>TEXT(FinancialData[[#This Row],[Date]],"MMMM")</f>
        <v>December</v>
      </c>
      <c r="B238">
        <f>MONTH(FinancialData[[#This Row],[Date]])</f>
        <v>12</v>
      </c>
      <c r="C238" t="str">
        <f>"Q"&amp;ROUNDUP(MONTH(FinancialData[[#This Row],[Date]])/3,0)</f>
        <v>Q4</v>
      </c>
      <c r="D238" s="8" t="s">
        <v>325</v>
      </c>
      <c r="E238" s="14">
        <v>13395811</v>
      </c>
      <c r="F238" s="14">
        <v>8109917</v>
      </c>
      <c r="G238" s="14">
        <v>5285894</v>
      </c>
      <c r="H238" s="6">
        <f>IFERROR(FinancialData[[#This Row],[Profit]]/FinancialData[[#This Row],[Revenue]],0)</f>
        <v>0.39459305599339972</v>
      </c>
      <c r="I238" s="6">
        <f>IFERROR(FinancialData[[#This Row],[Expenses]]/FinancialData[[#This Row],[Revenue]],0)</f>
        <v>0.60540694400660022</v>
      </c>
      <c r="J238" s="3">
        <v>45993</v>
      </c>
      <c r="K238">
        <v>2025</v>
      </c>
    </row>
    <row r="239" spans="1:11" x14ac:dyDescent="0.35">
      <c r="A239" t="str">
        <f>TEXT(FinancialData[[#This Row],[Date]],"MMMM")</f>
        <v>December</v>
      </c>
      <c r="B239">
        <f>MONTH(FinancialData[[#This Row],[Date]])</f>
        <v>12</v>
      </c>
      <c r="C239" t="str">
        <f>"Q"&amp;ROUNDUP(MONTH(FinancialData[[#This Row],[Date]])/3,0)</f>
        <v>Q4</v>
      </c>
      <c r="D239" s="8" t="s">
        <v>11</v>
      </c>
      <c r="E239" s="14">
        <v>10932582</v>
      </c>
      <c r="F239" s="14">
        <v>9516586</v>
      </c>
      <c r="G239" s="14">
        <v>1415996</v>
      </c>
      <c r="H239" s="6">
        <f>IFERROR(FinancialData[[#This Row],[Profit]]/FinancialData[[#This Row],[Revenue]],0)</f>
        <v>0.12952072986966848</v>
      </c>
      <c r="I239" s="6">
        <f>IFERROR(FinancialData[[#This Row],[Expenses]]/FinancialData[[#This Row],[Revenue]],0)</f>
        <v>0.87047927013033155</v>
      </c>
      <c r="J239" s="3">
        <v>45996</v>
      </c>
      <c r="K239">
        <v>2025</v>
      </c>
    </row>
    <row r="240" spans="1:11" x14ac:dyDescent="0.35">
      <c r="A240" t="str">
        <f>TEXT(FinancialData[[#This Row],[Date]],"MMMM")</f>
        <v>December</v>
      </c>
      <c r="B240">
        <f>MONTH(FinancialData[[#This Row],[Date]])</f>
        <v>12</v>
      </c>
      <c r="C240" t="str">
        <f>"Q"&amp;ROUNDUP(MONTH(FinancialData[[#This Row],[Date]])/3,0)</f>
        <v>Q4</v>
      </c>
      <c r="D240" s="8" t="s">
        <v>325</v>
      </c>
      <c r="E240" s="14">
        <v>13395811</v>
      </c>
      <c r="F240" s="14">
        <v>8109917</v>
      </c>
      <c r="G240" s="14">
        <v>5285894</v>
      </c>
      <c r="H240" s="6">
        <f>IFERROR(FinancialData[[#This Row],[Profit]]/FinancialData[[#This Row],[Revenue]],0)</f>
        <v>0.39459305599339972</v>
      </c>
      <c r="I240" s="6">
        <f>IFERROR(FinancialData[[#This Row],[Expenses]]/FinancialData[[#This Row],[Revenue]],0)</f>
        <v>0.60540694400660022</v>
      </c>
      <c r="J240" s="3">
        <v>45636</v>
      </c>
      <c r="K240">
        <v>2024</v>
      </c>
    </row>
    <row r="241" spans="1:11" x14ac:dyDescent="0.35">
      <c r="A241" t="str">
        <f>TEXT(FinancialData[[#This Row],[Date]],"MMMM")</f>
        <v>December</v>
      </c>
      <c r="B241">
        <f>MONTH(FinancialData[[#This Row],[Date]])</f>
        <v>12</v>
      </c>
      <c r="C241" t="str">
        <f>"Q"&amp;ROUNDUP(MONTH(FinancialData[[#This Row],[Date]])/3,0)</f>
        <v>Q4</v>
      </c>
      <c r="D241" s="8" t="s">
        <v>11</v>
      </c>
      <c r="E241" s="14">
        <v>3115955</v>
      </c>
      <c r="F241" s="14">
        <v>2888010</v>
      </c>
      <c r="G241" s="14">
        <v>227945</v>
      </c>
      <c r="H241" s="6">
        <f>IFERROR(FinancialData[[#This Row],[Profit]]/FinancialData[[#This Row],[Revenue]],0)</f>
        <v>7.3154137335102717E-2</v>
      </c>
      <c r="I241" s="6">
        <f>IFERROR(FinancialData[[#This Row],[Expenses]]/FinancialData[[#This Row],[Revenue]],0)</f>
        <v>0.92684586266489732</v>
      </c>
      <c r="J241" s="3">
        <v>45644</v>
      </c>
      <c r="K241">
        <v>2024</v>
      </c>
    </row>
    <row r="242" spans="1:11" x14ac:dyDescent="0.35">
      <c r="A242" t="str">
        <f>TEXT(FinancialData[[#This Row],[Date]],"MMMM")</f>
        <v>December</v>
      </c>
      <c r="B242">
        <f>MONTH(FinancialData[[#This Row],[Date]])</f>
        <v>12</v>
      </c>
      <c r="C242" t="str">
        <f>"Q"&amp;ROUNDUP(MONTH(FinancialData[[#This Row],[Date]])/3,0)</f>
        <v>Q4</v>
      </c>
      <c r="D242" s="8" t="s">
        <v>325</v>
      </c>
      <c r="E242" s="14">
        <v>13395142</v>
      </c>
      <c r="F242" s="14">
        <v>3866714</v>
      </c>
      <c r="G242" s="14">
        <v>9528428</v>
      </c>
      <c r="H242" s="6">
        <f>IFERROR(FinancialData[[#This Row],[Profit]]/FinancialData[[#This Row],[Revenue]],0)</f>
        <v>0.71133460175338192</v>
      </c>
      <c r="I242" s="6">
        <f>IFERROR(FinancialData[[#This Row],[Expenses]]/FinancialData[[#This Row],[Revenue]],0)</f>
        <v>0.28866539824661808</v>
      </c>
      <c r="J242" s="3">
        <v>45996</v>
      </c>
      <c r="K242">
        <v>2025</v>
      </c>
    </row>
    <row r="243" spans="1:11" x14ac:dyDescent="0.35">
      <c r="A243" t="str">
        <f>TEXT(FinancialData[[#This Row],[Date]],"MMMM")</f>
        <v>December</v>
      </c>
      <c r="B243">
        <f>MONTH(FinancialData[[#This Row],[Date]])</f>
        <v>12</v>
      </c>
      <c r="C243" t="str">
        <f>"Q"&amp;ROUNDUP(MONTH(FinancialData[[#This Row],[Date]])/3,0)</f>
        <v>Q4</v>
      </c>
      <c r="D243" s="8" t="s">
        <v>11</v>
      </c>
      <c r="E243" s="14">
        <v>2093322</v>
      </c>
      <c r="F243" s="14">
        <v>846252</v>
      </c>
      <c r="G243" s="14">
        <v>1247070</v>
      </c>
      <c r="H243" s="6">
        <f>IFERROR(FinancialData[[#This Row],[Profit]]/FinancialData[[#This Row],[Revenue]],0)</f>
        <v>0.59573730176246176</v>
      </c>
      <c r="I243" s="6">
        <f>IFERROR(FinancialData[[#This Row],[Expenses]]/FinancialData[[#This Row],[Revenue]],0)</f>
        <v>0.40426269823753824</v>
      </c>
      <c r="J243" s="3">
        <v>45630</v>
      </c>
      <c r="K243">
        <v>2024</v>
      </c>
    </row>
    <row r="244" spans="1:11" x14ac:dyDescent="0.35">
      <c r="A244" t="str">
        <f>TEXT(FinancialData[[#This Row],[Date]],"MMMM")</f>
        <v>December</v>
      </c>
      <c r="B244">
        <f>MONTH(FinancialData[[#This Row],[Date]])</f>
        <v>12</v>
      </c>
      <c r="C244" t="str">
        <f>"Q"&amp;ROUNDUP(MONTH(FinancialData[[#This Row],[Date]])/3,0)</f>
        <v>Q4</v>
      </c>
      <c r="D244" s="8" t="s">
        <v>325</v>
      </c>
      <c r="E244" s="14">
        <v>13395142</v>
      </c>
      <c r="F244" s="14">
        <v>3866714</v>
      </c>
      <c r="G244" s="14">
        <v>9528428</v>
      </c>
      <c r="H244" s="6">
        <f>IFERROR(FinancialData[[#This Row],[Profit]]/FinancialData[[#This Row],[Revenue]],0)</f>
        <v>0.71133460175338192</v>
      </c>
      <c r="I244" s="6">
        <f>IFERROR(FinancialData[[#This Row],[Expenses]]/FinancialData[[#This Row],[Revenue]],0)</f>
        <v>0.28866539824661808</v>
      </c>
      <c r="J244" s="3">
        <v>45998</v>
      </c>
      <c r="K244">
        <v>2025</v>
      </c>
    </row>
    <row r="245" spans="1:11" x14ac:dyDescent="0.35">
      <c r="A245" t="str">
        <f>TEXT(FinancialData[[#This Row],[Date]],"MMMM")</f>
        <v>December</v>
      </c>
      <c r="B245">
        <f>MONTH(FinancialData[[#This Row],[Date]])</f>
        <v>12</v>
      </c>
      <c r="C245" t="str">
        <f>"Q"&amp;ROUNDUP(MONTH(FinancialData[[#This Row],[Date]])/3,0)</f>
        <v>Q4</v>
      </c>
      <c r="D245" s="8" t="s">
        <v>325</v>
      </c>
      <c r="E245" s="14">
        <v>8925622</v>
      </c>
      <c r="F245" s="14">
        <v>7859625</v>
      </c>
      <c r="G245" s="14">
        <v>1065997</v>
      </c>
      <c r="H245" s="6">
        <f>IFERROR(FinancialData[[#This Row],[Profit]]/FinancialData[[#This Row],[Revenue]],0)</f>
        <v>0.11943111639726621</v>
      </c>
      <c r="I245" s="6">
        <f>IFERROR(FinancialData[[#This Row],[Expenses]]/FinancialData[[#This Row],[Revenue]],0)</f>
        <v>0.88056888360273378</v>
      </c>
      <c r="J245" s="3">
        <v>46006</v>
      </c>
      <c r="K245">
        <v>2025</v>
      </c>
    </row>
    <row r="246" spans="1:11" x14ac:dyDescent="0.35">
      <c r="A246" t="str">
        <f>TEXT(FinancialData[[#This Row],[Date]],"MMMM")</f>
        <v>December</v>
      </c>
      <c r="B246">
        <f>MONTH(FinancialData[[#This Row],[Date]])</f>
        <v>12</v>
      </c>
      <c r="C246" t="str">
        <f>"Q"&amp;ROUNDUP(MONTH(FinancialData[[#This Row],[Date]])/3,0)</f>
        <v>Q4</v>
      </c>
      <c r="D246" s="8" t="s">
        <v>325</v>
      </c>
      <c r="E246" s="14">
        <v>17872796</v>
      </c>
      <c r="F246" s="14">
        <v>4065021</v>
      </c>
      <c r="G246" s="14">
        <v>13807775</v>
      </c>
      <c r="H246" s="6">
        <f>IFERROR(FinancialData[[#This Row],[Profit]]/FinancialData[[#This Row],[Revenue]],0)</f>
        <v>0.77255819402851122</v>
      </c>
      <c r="I246" s="6">
        <f>IFERROR(FinancialData[[#This Row],[Expenses]]/FinancialData[[#This Row],[Revenue]],0)</f>
        <v>0.22744180597148875</v>
      </c>
      <c r="J246" s="3">
        <v>46010</v>
      </c>
      <c r="K246">
        <v>2025</v>
      </c>
    </row>
    <row r="247" spans="1:11" x14ac:dyDescent="0.35">
      <c r="A247" t="str">
        <f>TEXT(FinancialData[[#This Row],[Date]],"MMMM")</f>
        <v>December</v>
      </c>
      <c r="B247">
        <f>MONTH(FinancialData[[#This Row],[Date]])</f>
        <v>12</v>
      </c>
      <c r="C247" t="str">
        <f>"Q"&amp;ROUNDUP(MONTH(FinancialData[[#This Row],[Date]])/3,0)</f>
        <v>Q4</v>
      </c>
      <c r="D247" s="8" t="s">
        <v>11</v>
      </c>
      <c r="E247" s="14">
        <v>9869633</v>
      </c>
      <c r="F247" s="14">
        <v>8708702</v>
      </c>
      <c r="G247" s="14">
        <v>1160931</v>
      </c>
      <c r="H247" s="6">
        <f>IFERROR(FinancialData[[#This Row],[Profit]]/FinancialData[[#This Row],[Revenue]],0)</f>
        <v>0.11762656220347809</v>
      </c>
      <c r="I247" s="6">
        <f>IFERROR(FinancialData[[#This Row],[Expenses]]/FinancialData[[#This Row],[Revenue]],0)</f>
        <v>0.88237343779652189</v>
      </c>
      <c r="J247" s="3">
        <v>45636</v>
      </c>
      <c r="K247">
        <v>2024</v>
      </c>
    </row>
    <row r="248" spans="1:11" x14ac:dyDescent="0.35">
      <c r="A248" t="str">
        <f>TEXT(FinancialData[[#This Row],[Date]],"MMMM")</f>
        <v>December</v>
      </c>
      <c r="B248">
        <f>MONTH(FinancialData[[#This Row],[Date]])</f>
        <v>12</v>
      </c>
      <c r="C248" t="str">
        <f>"Q"&amp;ROUNDUP(MONTH(FinancialData[[#This Row],[Date]])/3,0)</f>
        <v>Q4</v>
      </c>
      <c r="D248" s="8" t="s">
        <v>11</v>
      </c>
      <c r="E248" s="14">
        <v>7684666</v>
      </c>
      <c r="F248" s="14">
        <v>5053533</v>
      </c>
      <c r="G248" s="14">
        <v>2631133</v>
      </c>
      <c r="H248" s="6">
        <f>IFERROR(FinancialData[[#This Row],[Profit]]/FinancialData[[#This Row],[Revenue]],0)</f>
        <v>0.34238742451526194</v>
      </c>
      <c r="I248" s="6">
        <f>IFERROR(FinancialData[[#This Row],[Expenses]]/FinancialData[[#This Row],[Revenue]],0)</f>
        <v>0.65761257548473806</v>
      </c>
      <c r="J248" s="3">
        <v>46001</v>
      </c>
      <c r="K248">
        <v>2025</v>
      </c>
    </row>
    <row r="249" spans="1:11" x14ac:dyDescent="0.35">
      <c r="A249" t="str">
        <f>TEXT(FinancialData[[#This Row],[Date]],"MMMM")</f>
        <v>December</v>
      </c>
      <c r="B249">
        <f>MONTH(FinancialData[[#This Row],[Date]])</f>
        <v>12</v>
      </c>
      <c r="C249" t="str">
        <f>"Q"&amp;ROUNDUP(MONTH(FinancialData[[#This Row],[Date]])/3,0)</f>
        <v>Q4</v>
      </c>
      <c r="D249" s="8" t="s">
        <v>11</v>
      </c>
      <c r="E249" s="14">
        <v>7713630</v>
      </c>
      <c r="F249" s="14">
        <v>1832250</v>
      </c>
      <c r="G249" s="14">
        <v>5881380</v>
      </c>
      <c r="H249" s="6">
        <f>IFERROR(FinancialData[[#This Row],[Profit]]/FinancialData[[#This Row],[Revenue]],0)</f>
        <v>0.7624659207143718</v>
      </c>
      <c r="I249" s="6">
        <f>IFERROR(FinancialData[[#This Row],[Expenses]]/FinancialData[[#This Row],[Revenue]],0)</f>
        <v>0.23753407928562817</v>
      </c>
      <c r="J249" s="3">
        <v>46022</v>
      </c>
      <c r="K249">
        <v>2025</v>
      </c>
    </row>
    <row r="250" spans="1:11" x14ac:dyDescent="0.35">
      <c r="A250" t="str">
        <f>TEXT(FinancialData[[#This Row],[Date]],"MMMM")</f>
        <v>December</v>
      </c>
      <c r="B250">
        <f>MONTH(FinancialData[[#This Row],[Date]])</f>
        <v>12</v>
      </c>
      <c r="C250" t="str">
        <f>"Q"&amp;ROUNDUP(MONTH(FinancialData[[#This Row],[Date]])/3,0)</f>
        <v>Q4</v>
      </c>
      <c r="D250" s="8" t="s">
        <v>11</v>
      </c>
      <c r="E250" s="14">
        <v>9814492</v>
      </c>
      <c r="F250" s="14">
        <v>5074629</v>
      </c>
      <c r="G250" s="14">
        <v>4739863</v>
      </c>
      <c r="H250" s="6">
        <f>IFERROR(FinancialData[[#This Row],[Profit]]/FinancialData[[#This Row],[Revenue]],0)</f>
        <v>0.48294532208085755</v>
      </c>
      <c r="I250" s="6">
        <f>IFERROR(FinancialData[[#This Row],[Expenses]]/FinancialData[[#This Row],[Revenue]],0)</f>
        <v>0.51705467791914239</v>
      </c>
      <c r="J250" s="3">
        <v>46013</v>
      </c>
      <c r="K250">
        <v>2025</v>
      </c>
    </row>
    <row r="251" spans="1:11" x14ac:dyDescent="0.35">
      <c r="J251"/>
    </row>
    <row r="252" spans="1:11" x14ac:dyDescent="0.35">
      <c r="J252"/>
    </row>
    <row r="253" spans="1:11" x14ac:dyDescent="0.35">
      <c r="J253"/>
    </row>
    <row r="254" spans="1:11" x14ac:dyDescent="0.35">
      <c r="J254"/>
    </row>
    <row r="255" spans="1:11" x14ac:dyDescent="0.35">
      <c r="J255"/>
    </row>
    <row r="256" spans="1:11" x14ac:dyDescent="0.35">
      <c r="J256"/>
    </row>
    <row r="257" spans="10:10" x14ac:dyDescent="0.35">
      <c r="J257"/>
    </row>
    <row r="258" spans="10:10" x14ac:dyDescent="0.35">
      <c r="J258"/>
    </row>
    <row r="259" spans="10:10" x14ac:dyDescent="0.35">
      <c r="J259"/>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C0023-2F13-4D3E-B0BD-A41AB196EEEB}">
  <dimension ref="A1:K250"/>
  <sheetViews>
    <sheetView topLeftCell="A107" workbookViewId="0">
      <selection activeCell="M10" sqref="M10"/>
    </sheetView>
  </sheetViews>
  <sheetFormatPr defaultRowHeight="14.5" x14ac:dyDescent="0.35"/>
  <cols>
    <col min="1" max="1" width="9.90625" style="8" bestFit="1" customWidth="1"/>
    <col min="2" max="2" width="9" style="16" customWidth="1"/>
    <col min="3" max="3" width="9.7265625" bestFit="1" customWidth="1"/>
    <col min="4" max="4" width="12.90625" style="8" customWidth="1"/>
    <col min="5" max="5" width="17.36328125" style="14" customWidth="1"/>
    <col min="6" max="6" width="14.6328125" style="14" customWidth="1"/>
    <col min="7" max="7" width="14.90625" style="14" customWidth="1"/>
    <col min="8" max="8" width="14.1796875" style="6" bestFit="1" customWidth="1"/>
    <col min="9" max="9" width="15.7265625" style="6" bestFit="1" customWidth="1"/>
    <col min="10" max="10" width="10.453125" style="3" bestFit="1" customWidth="1"/>
    <col min="11" max="11" width="14.54296875" bestFit="1" customWidth="1"/>
  </cols>
  <sheetData>
    <row r="1" spans="1:11" x14ac:dyDescent="0.35">
      <c r="A1" s="8" t="s">
        <v>0</v>
      </c>
      <c r="B1" s="16" t="s">
        <v>326</v>
      </c>
      <c r="C1" t="s">
        <v>327</v>
      </c>
      <c r="D1" s="8" t="s">
        <v>1</v>
      </c>
      <c r="E1" s="14" t="s">
        <v>2</v>
      </c>
      <c r="F1" s="14" t="s">
        <v>3</v>
      </c>
      <c r="G1" s="14" t="s">
        <v>4</v>
      </c>
      <c r="H1" s="6" t="s">
        <v>328</v>
      </c>
      <c r="I1" s="6" t="s">
        <v>329</v>
      </c>
      <c r="J1" s="3" t="s">
        <v>5</v>
      </c>
      <c r="K1" t="s">
        <v>6</v>
      </c>
    </row>
    <row r="2" spans="1:11" x14ac:dyDescent="0.35">
      <c r="A2" s="8" t="s">
        <v>19</v>
      </c>
      <c r="B2" s="16">
        <v>1</v>
      </c>
      <c r="C2" t="s">
        <v>342</v>
      </c>
      <c r="D2" s="8" t="s">
        <v>11</v>
      </c>
      <c r="E2" s="14">
        <v>2093322</v>
      </c>
      <c r="F2" s="14">
        <v>846252</v>
      </c>
      <c r="G2" s="14">
        <v>1247070</v>
      </c>
      <c r="H2" s="6">
        <v>0.59573730176246176</v>
      </c>
      <c r="I2" s="6">
        <v>0.40426269823753824</v>
      </c>
      <c r="J2" s="3">
        <v>45681</v>
      </c>
      <c r="K2">
        <v>2025</v>
      </c>
    </row>
    <row r="3" spans="1:11" x14ac:dyDescent="0.35">
      <c r="A3" s="8" t="s">
        <v>19</v>
      </c>
      <c r="B3" s="16">
        <v>1</v>
      </c>
      <c r="C3" t="s">
        <v>342</v>
      </c>
      <c r="D3" s="8" t="s">
        <v>11</v>
      </c>
      <c r="E3" s="14">
        <v>7713630</v>
      </c>
      <c r="F3" s="14">
        <v>1832250</v>
      </c>
      <c r="G3" s="14">
        <v>5881380</v>
      </c>
      <c r="H3" s="6">
        <v>0.7624659207143718</v>
      </c>
      <c r="I3" s="6">
        <v>0.23753407928562817</v>
      </c>
      <c r="J3" s="3">
        <v>45663</v>
      </c>
      <c r="K3">
        <v>2025</v>
      </c>
    </row>
    <row r="4" spans="1:11" x14ac:dyDescent="0.35">
      <c r="A4" s="8" t="s">
        <v>19</v>
      </c>
      <c r="B4" s="16">
        <v>1</v>
      </c>
      <c r="C4" t="s">
        <v>342</v>
      </c>
      <c r="D4" s="8" t="s">
        <v>11</v>
      </c>
      <c r="E4" s="14">
        <v>9869633</v>
      </c>
      <c r="F4" s="14">
        <v>8708702</v>
      </c>
      <c r="G4" s="14">
        <v>1160931</v>
      </c>
      <c r="H4" s="6">
        <v>0.11762656220347809</v>
      </c>
      <c r="I4" s="6">
        <v>0.88237343779652189</v>
      </c>
      <c r="J4" s="3">
        <v>45311</v>
      </c>
      <c r="K4">
        <v>2024</v>
      </c>
    </row>
    <row r="5" spans="1:11" x14ac:dyDescent="0.35">
      <c r="A5" s="8" t="s">
        <v>19</v>
      </c>
      <c r="B5" s="16">
        <v>1</v>
      </c>
      <c r="C5" t="s">
        <v>342</v>
      </c>
      <c r="D5" s="8" t="s">
        <v>11</v>
      </c>
      <c r="E5" s="14">
        <v>7409657</v>
      </c>
      <c r="F5" s="14">
        <v>6271336</v>
      </c>
      <c r="G5" s="14">
        <v>1138321</v>
      </c>
      <c r="H5" s="6">
        <v>0.15362667934561614</v>
      </c>
      <c r="I5" s="6">
        <v>0.84637332065438386</v>
      </c>
      <c r="K5">
        <v>2024</v>
      </c>
    </row>
    <row r="6" spans="1:11" x14ac:dyDescent="0.35">
      <c r="A6" s="8" t="s">
        <v>19</v>
      </c>
      <c r="B6" s="16">
        <v>1</v>
      </c>
      <c r="C6" t="s">
        <v>342</v>
      </c>
      <c r="D6" s="8" t="s">
        <v>11</v>
      </c>
      <c r="E6" s="14">
        <v>10932582</v>
      </c>
      <c r="F6" s="14">
        <v>9516586</v>
      </c>
      <c r="G6" s="14">
        <v>1415996</v>
      </c>
      <c r="H6" s="6">
        <v>0.12952072986966848</v>
      </c>
      <c r="I6" s="6">
        <v>0.87047927013033155</v>
      </c>
      <c r="J6" s="3">
        <v>45682</v>
      </c>
      <c r="K6">
        <v>2025</v>
      </c>
    </row>
    <row r="7" spans="1:11" x14ac:dyDescent="0.35">
      <c r="A7" s="8" t="s">
        <v>19</v>
      </c>
      <c r="B7" s="16">
        <v>1</v>
      </c>
      <c r="C7" t="s">
        <v>342</v>
      </c>
      <c r="D7" s="8" t="s">
        <v>11</v>
      </c>
      <c r="E7" s="14">
        <v>6641746</v>
      </c>
      <c r="F7" s="14">
        <v>2466037</v>
      </c>
      <c r="G7" s="14">
        <v>4175709</v>
      </c>
      <c r="H7" s="6">
        <v>0.62870651783431641</v>
      </c>
      <c r="I7" s="6">
        <v>0.37129348216568353</v>
      </c>
      <c r="J7" s="3">
        <v>45680</v>
      </c>
      <c r="K7">
        <v>2025</v>
      </c>
    </row>
    <row r="8" spans="1:11" x14ac:dyDescent="0.35">
      <c r="A8" s="8" t="s">
        <v>19</v>
      </c>
      <c r="B8" s="16">
        <v>1</v>
      </c>
      <c r="C8" t="s">
        <v>342</v>
      </c>
      <c r="D8" s="8" t="s">
        <v>325</v>
      </c>
      <c r="E8" s="14">
        <v>9406634</v>
      </c>
      <c r="F8" s="14">
        <v>1310092</v>
      </c>
      <c r="G8" s="14">
        <v>8096542</v>
      </c>
      <c r="H8" s="6">
        <v>0.8607268019570018</v>
      </c>
      <c r="I8" s="6">
        <v>0.13927319804299818</v>
      </c>
      <c r="K8">
        <v>2024</v>
      </c>
    </row>
    <row r="9" spans="1:11" x14ac:dyDescent="0.35">
      <c r="A9" s="8" t="s">
        <v>19</v>
      </c>
      <c r="B9" s="16">
        <v>1</v>
      </c>
      <c r="C9" t="s">
        <v>342</v>
      </c>
      <c r="D9" s="8" t="s">
        <v>325</v>
      </c>
      <c r="E9" s="14">
        <v>9406634</v>
      </c>
      <c r="F9" s="14">
        <v>1310092</v>
      </c>
      <c r="G9" s="14">
        <v>8096542</v>
      </c>
      <c r="H9" s="6">
        <v>0.8607268019570018</v>
      </c>
      <c r="I9" s="6">
        <v>0.13927319804299818</v>
      </c>
      <c r="K9">
        <v>2025</v>
      </c>
    </row>
    <row r="10" spans="1:11" x14ac:dyDescent="0.35">
      <c r="A10" s="8" t="s">
        <v>19</v>
      </c>
      <c r="B10" s="16">
        <v>1</v>
      </c>
      <c r="C10" t="s">
        <v>342</v>
      </c>
      <c r="D10" s="8" t="s">
        <v>11</v>
      </c>
      <c r="E10" s="14">
        <v>7713630</v>
      </c>
      <c r="F10" s="14">
        <v>1832250</v>
      </c>
      <c r="G10" s="14">
        <v>5881380</v>
      </c>
      <c r="H10" s="6">
        <v>0.7624659207143718</v>
      </c>
      <c r="I10" s="6">
        <v>0.23753407928562817</v>
      </c>
      <c r="J10" s="3">
        <v>45681</v>
      </c>
      <c r="K10">
        <v>2025</v>
      </c>
    </row>
    <row r="11" spans="1:11" x14ac:dyDescent="0.35">
      <c r="A11" s="8" t="s">
        <v>19</v>
      </c>
      <c r="B11" s="16">
        <v>1</v>
      </c>
      <c r="C11" t="s">
        <v>342</v>
      </c>
      <c r="D11" s="8" t="s">
        <v>325</v>
      </c>
      <c r="E11" s="14">
        <v>12433378</v>
      </c>
      <c r="F11" s="14">
        <v>3398230</v>
      </c>
      <c r="G11" s="14">
        <v>9035148</v>
      </c>
      <c r="H11" s="6">
        <v>0.72668489609179421</v>
      </c>
      <c r="I11" s="6">
        <v>0.27331510390820579</v>
      </c>
      <c r="J11" s="3">
        <v>45313</v>
      </c>
      <c r="K11">
        <v>2024</v>
      </c>
    </row>
    <row r="12" spans="1:11" x14ac:dyDescent="0.35">
      <c r="A12" s="8" t="s">
        <v>19</v>
      </c>
      <c r="B12" s="16">
        <v>1</v>
      </c>
      <c r="C12" t="s">
        <v>342</v>
      </c>
      <c r="D12" s="8" t="s">
        <v>325</v>
      </c>
      <c r="E12" s="14">
        <v>13395142</v>
      </c>
      <c r="F12" s="14">
        <v>3866714</v>
      </c>
      <c r="G12" s="14">
        <v>9528428</v>
      </c>
      <c r="H12" s="6">
        <v>0.71133460175338192</v>
      </c>
      <c r="I12" s="6">
        <v>0.28866539824661808</v>
      </c>
      <c r="J12" s="3">
        <v>45302</v>
      </c>
      <c r="K12">
        <v>2024</v>
      </c>
    </row>
    <row r="13" spans="1:11" x14ac:dyDescent="0.35">
      <c r="A13" s="8" t="s">
        <v>19</v>
      </c>
      <c r="B13" s="16">
        <v>1</v>
      </c>
      <c r="C13" t="s">
        <v>342</v>
      </c>
      <c r="D13" s="8" t="s">
        <v>325</v>
      </c>
      <c r="E13" s="14">
        <v>9406634</v>
      </c>
      <c r="F13" s="14">
        <v>1310092</v>
      </c>
      <c r="G13" s="14">
        <v>8096542</v>
      </c>
      <c r="H13" s="6">
        <v>0.8607268019570018</v>
      </c>
      <c r="I13" s="6">
        <v>0.13927319804299818</v>
      </c>
      <c r="J13" s="3">
        <v>45679</v>
      </c>
      <c r="K13">
        <v>2025</v>
      </c>
    </row>
    <row r="14" spans="1:11" x14ac:dyDescent="0.35">
      <c r="A14" s="8" t="s">
        <v>19</v>
      </c>
      <c r="B14" s="16">
        <v>1</v>
      </c>
      <c r="C14" t="s">
        <v>342</v>
      </c>
      <c r="D14" s="8" t="s">
        <v>325</v>
      </c>
      <c r="E14" s="14">
        <v>13395811</v>
      </c>
      <c r="F14" s="14">
        <v>8109917</v>
      </c>
      <c r="G14" s="14">
        <v>5285894</v>
      </c>
      <c r="H14" s="6">
        <v>0.39459305599339972</v>
      </c>
      <c r="I14" s="6">
        <v>0.60540694400660022</v>
      </c>
      <c r="J14" s="3">
        <v>45317</v>
      </c>
      <c r="K14">
        <v>2024</v>
      </c>
    </row>
    <row r="15" spans="1:11" x14ac:dyDescent="0.35">
      <c r="A15" s="8" t="s">
        <v>19</v>
      </c>
      <c r="B15" s="16">
        <v>1</v>
      </c>
      <c r="C15" t="s">
        <v>342</v>
      </c>
      <c r="D15" s="8" t="s">
        <v>325</v>
      </c>
      <c r="E15" s="14">
        <v>17772619</v>
      </c>
      <c r="F15" s="14">
        <v>3751148</v>
      </c>
      <c r="G15" s="14">
        <v>14021471</v>
      </c>
      <c r="H15" s="6">
        <v>0.78893667838150361</v>
      </c>
      <c r="I15" s="6">
        <v>0.21106332161849642</v>
      </c>
      <c r="J15" s="3">
        <v>45292</v>
      </c>
      <c r="K15">
        <v>2024</v>
      </c>
    </row>
    <row r="16" spans="1:11" x14ac:dyDescent="0.35">
      <c r="A16" s="8" t="s">
        <v>19</v>
      </c>
      <c r="B16" s="16">
        <v>1</v>
      </c>
      <c r="C16" t="s">
        <v>342</v>
      </c>
      <c r="D16" s="8" t="s">
        <v>325</v>
      </c>
      <c r="E16" s="14">
        <v>6659621</v>
      </c>
      <c r="F16" s="14">
        <v>5718412</v>
      </c>
      <c r="G16" s="14">
        <v>941209</v>
      </c>
      <c r="H16" s="6">
        <v>0.14133071536653513</v>
      </c>
      <c r="I16" s="6">
        <v>0.85866928463346492</v>
      </c>
      <c r="K16">
        <v>2024</v>
      </c>
    </row>
    <row r="17" spans="1:11" x14ac:dyDescent="0.35">
      <c r="A17" s="8" t="s">
        <v>19</v>
      </c>
      <c r="B17" s="16">
        <v>1</v>
      </c>
      <c r="C17" t="s">
        <v>342</v>
      </c>
      <c r="D17" s="8" t="s">
        <v>325</v>
      </c>
      <c r="E17" s="14">
        <v>9406634</v>
      </c>
      <c r="F17" s="14">
        <v>1310092</v>
      </c>
      <c r="G17" s="14">
        <v>8096542</v>
      </c>
      <c r="H17" s="6">
        <v>0.8607268019570018</v>
      </c>
      <c r="I17" s="6">
        <v>0.13927319804299818</v>
      </c>
      <c r="J17" s="3">
        <v>45671</v>
      </c>
      <c r="K17">
        <v>2025</v>
      </c>
    </row>
    <row r="18" spans="1:11" x14ac:dyDescent="0.35">
      <c r="A18" s="8" t="s">
        <v>19</v>
      </c>
      <c r="B18" s="16">
        <v>1</v>
      </c>
      <c r="C18" t="s">
        <v>342</v>
      </c>
      <c r="D18" s="8" t="s">
        <v>325</v>
      </c>
      <c r="E18" s="14">
        <v>9166769</v>
      </c>
      <c r="F18" s="14">
        <v>7049977</v>
      </c>
      <c r="G18" s="14">
        <v>2116792</v>
      </c>
      <c r="H18" s="6">
        <v>0.23092018572738116</v>
      </c>
      <c r="I18" s="6">
        <v>0.76907981427261884</v>
      </c>
      <c r="J18" s="3">
        <v>45303</v>
      </c>
      <c r="K18">
        <v>2024</v>
      </c>
    </row>
    <row r="19" spans="1:11" x14ac:dyDescent="0.35">
      <c r="A19" s="8" t="s">
        <v>19</v>
      </c>
      <c r="B19" s="16">
        <v>1</v>
      </c>
      <c r="C19" t="s">
        <v>342</v>
      </c>
      <c r="D19" s="8" t="s">
        <v>325</v>
      </c>
      <c r="E19" s="14">
        <v>10655734</v>
      </c>
      <c r="F19" s="14">
        <v>2408508</v>
      </c>
      <c r="G19" s="14">
        <v>8247226</v>
      </c>
      <c r="H19" s="6">
        <v>0.77397070910366195</v>
      </c>
      <c r="I19" s="6">
        <v>0.22602929089633805</v>
      </c>
      <c r="J19" s="3">
        <v>45674</v>
      </c>
      <c r="K19">
        <v>2025</v>
      </c>
    </row>
    <row r="20" spans="1:11" x14ac:dyDescent="0.35">
      <c r="A20" s="8" t="s">
        <v>19</v>
      </c>
      <c r="B20" s="16">
        <v>1</v>
      </c>
      <c r="C20" t="s">
        <v>342</v>
      </c>
      <c r="D20" s="8" t="s">
        <v>11</v>
      </c>
      <c r="E20" s="14">
        <v>6641746</v>
      </c>
      <c r="F20" s="14">
        <v>2466037</v>
      </c>
      <c r="G20" s="14">
        <v>4175709</v>
      </c>
      <c r="H20" s="6">
        <v>0.62870651783431641</v>
      </c>
      <c r="I20" s="6">
        <v>0.37129348216568353</v>
      </c>
      <c r="J20" s="3">
        <v>45319</v>
      </c>
      <c r="K20">
        <v>2024</v>
      </c>
    </row>
    <row r="21" spans="1:11" x14ac:dyDescent="0.35">
      <c r="A21" s="8" t="s">
        <v>19</v>
      </c>
      <c r="B21" s="16">
        <v>1</v>
      </c>
      <c r="C21" t="s">
        <v>342</v>
      </c>
      <c r="D21" s="8" t="s">
        <v>11</v>
      </c>
      <c r="E21" s="14">
        <v>7684666</v>
      </c>
      <c r="F21" s="14">
        <v>5053533</v>
      </c>
      <c r="G21" s="14">
        <v>2631133</v>
      </c>
      <c r="H21" s="6">
        <v>0.34238742451526194</v>
      </c>
      <c r="I21" s="6">
        <v>0.65761257548473806</v>
      </c>
      <c r="J21" s="3">
        <v>45322</v>
      </c>
      <c r="K21">
        <v>2024</v>
      </c>
    </row>
    <row r="22" spans="1:11" x14ac:dyDescent="0.35">
      <c r="A22" s="8" t="s">
        <v>19</v>
      </c>
      <c r="B22" s="16">
        <v>1</v>
      </c>
      <c r="C22" t="s">
        <v>342</v>
      </c>
      <c r="D22" s="8" t="s">
        <v>11</v>
      </c>
      <c r="E22" s="14">
        <v>2093322</v>
      </c>
      <c r="F22" s="14">
        <v>846252</v>
      </c>
      <c r="G22" s="14">
        <v>1247070</v>
      </c>
      <c r="H22" s="6">
        <v>0.59573730176246176</v>
      </c>
      <c r="I22" s="6">
        <v>0.40426269823753824</v>
      </c>
      <c r="J22" s="3">
        <v>45686</v>
      </c>
      <c r="K22">
        <v>2025</v>
      </c>
    </row>
    <row r="23" spans="1:11" x14ac:dyDescent="0.35">
      <c r="A23" s="8" t="s">
        <v>19</v>
      </c>
      <c r="B23" s="16">
        <v>1</v>
      </c>
      <c r="C23" t="s">
        <v>342</v>
      </c>
      <c r="D23" s="8" t="s">
        <v>11</v>
      </c>
      <c r="E23" s="14">
        <v>7684666</v>
      </c>
      <c r="F23" s="14">
        <v>5053533</v>
      </c>
      <c r="G23" s="14">
        <v>2631133</v>
      </c>
      <c r="H23" s="6">
        <v>0.34238742451526194</v>
      </c>
      <c r="I23" s="6">
        <v>0.65761257548473806</v>
      </c>
      <c r="J23" s="3">
        <v>45299</v>
      </c>
      <c r="K23">
        <v>2024</v>
      </c>
    </row>
    <row r="24" spans="1:11" x14ac:dyDescent="0.35">
      <c r="A24" s="8" t="s">
        <v>19</v>
      </c>
      <c r="B24" s="16">
        <v>1</v>
      </c>
      <c r="C24" t="s">
        <v>342</v>
      </c>
      <c r="D24" s="8" t="s">
        <v>11</v>
      </c>
      <c r="E24" s="14">
        <v>10932582</v>
      </c>
      <c r="F24" s="14">
        <v>9516586</v>
      </c>
      <c r="G24" s="14">
        <v>1415996</v>
      </c>
      <c r="H24" s="6">
        <v>0.12952072986966848</v>
      </c>
      <c r="I24" s="6">
        <v>0.87047927013033155</v>
      </c>
      <c r="J24" s="3">
        <v>45674</v>
      </c>
      <c r="K24">
        <v>2025</v>
      </c>
    </row>
    <row r="25" spans="1:11" x14ac:dyDescent="0.35">
      <c r="A25" s="8" t="s">
        <v>19</v>
      </c>
      <c r="B25" s="16">
        <v>1</v>
      </c>
      <c r="C25" t="s">
        <v>342</v>
      </c>
      <c r="D25" s="8" t="s">
        <v>11</v>
      </c>
      <c r="E25" s="14">
        <v>7713630</v>
      </c>
      <c r="F25" s="14">
        <v>1832250</v>
      </c>
      <c r="G25" s="14">
        <v>5881380</v>
      </c>
      <c r="H25" s="6">
        <v>0.7624659207143718</v>
      </c>
      <c r="I25" s="6">
        <v>0.23753407928562817</v>
      </c>
      <c r="J25" s="3">
        <v>45295</v>
      </c>
      <c r="K25">
        <v>2024</v>
      </c>
    </row>
    <row r="26" spans="1:11" x14ac:dyDescent="0.35">
      <c r="A26" s="8" t="s">
        <v>19</v>
      </c>
      <c r="B26" s="16">
        <v>1</v>
      </c>
      <c r="C26" t="s">
        <v>342</v>
      </c>
      <c r="D26" s="8" t="s">
        <v>11</v>
      </c>
      <c r="E26" s="14">
        <v>6641746</v>
      </c>
      <c r="F26" s="14">
        <v>2466037</v>
      </c>
      <c r="G26" s="14">
        <v>4175709</v>
      </c>
      <c r="H26" s="6">
        <v>0.62870651783431641</v>
      </c>
      <c r="I26" s="6">
        <v>0.37129348216568353</v>
      </c>
      <c r="J26" s="3">
        <v>45659</v>
      </c>
      <c r="K26">
        <v>2025</v>
      </c>
    </row>
    <row r="27" spans="1:11" x14ac:dyDescent="0.35">
      <c r="A27" s="8" t="s">
        <v>15</v>
      </c>
      <c r="B27" s="16">
        <v>2</v>
      </c>
      <c r="C27" t="s">
        <v>342</v>
      </c>
      <c r="D27" s="8" t="s">
        <v>325</v>
      </c>
      <c r="E27" s="14">
        <v>9406634</v>
      </c>
      <c r="F27" s="14">
        <v>1310092</v>
      </c>
      <c r="G27" s="14">
        <v>8096542</v>
      </c>
      <c r="H27" s="6">
        <v>0.8607268019570018</v>
      </c>
      <c r="I27" s="6">
        <v>0.13927319804299818</v>
      </c>
      <c r="J27" s="3">
        <v>45349</v>
      </c>
      <c r="K27">
        <v>2024</v>
      </c>
    </row>
    <row r="28" spans="1:11" x14ac:dyDescent="0.35">
      <c r="A28" s="8" t="s">
        <v>15</v>
      </c>
      <c r="B28" s="16">
        <v>2</v>
      </c>
      <c r="C28" t="s">
        <v>342</v>
      </c>
      <c r="D28" s="8" t="s">
        <v>325</v>
      </c>
      <c r="E28" s="14">
        <v>6659621</v>
      </c>
      <c r="F28" s="14">
        <v>5718412</v>
      </c>
      <c r="G28" s="14">
        <v>941209</v>
      </c>
      <c r="H28" s="6">
        <v>0.14133071536653513</v>
      </c>
      <c r="I28" s="6">
        <v>0.85866928463346492</v>
      </c>
      <c r="J28" s="3">
        <v>45324</v>
      </c>
      <c r="K28">
        <v>2024</v>
      </c>
    </row>
    <row r="29" spans="1:11" x14ac:dyDescent="0.35">
      <c r="A29" s="8" t="s">
        <v>15</v>
      </c>
      <c r="B29" s="16">
        <v>2</v>
      </c>
      <c r="C29" t="s">
        <v>342</v>
      </c>
      <c r="D29" s="8" t="s">
        <v>11</v>
      </c>
      <c r="E29" s="14">
        <v>6641746</v>
      </c>
      <c r="F29" s="14">
        <v>2466037</v>
      </c>
      <c r="G29" s="14">
        <v>4175709</v>
      </c>
      <c r="H29" s="6">
        <v>0.62870651783431641</v>
      </c>
      <c r="I29" s="6">
        <v>0.37129348216568353</v>
      </c>
      <c r="J29" s="3">
        <v>45697</v>
      </c>
      <c r="K29">
        <v>2025</v>
      </c>
    </row>
    <row r="30" spans="1:11" x14ac:dyDescent="0.35">
      <c r="A30" s="8" t="s">
        <v>15</v>
      </c>
      <c r="B30" s="16">
        <v>2</v>
      </c>
      <c r="C30" t="s">
        <v>342</v>
      </c>
      <c r="D30" s="8" t="s">
        <v>325</v>
      </c>
      <c r="E30" s="14">
        <v>12433378</v>
      </c>
      <c r="F30" s="14">
        <v>3398230</v>
      </c>
      <c r="G30" s="14">
        <v>9035148</v>
      </c>
      <c r="H30" s="6">
        <v>0.72668489609179421</v>
      </c>
      <c r="I30" s="6">
        <v>0.27331510390820579</v>
      </c>
      <c r="J30" s="3">
        <v>45702</v>
      </c>
      <c r="K30">
        <v>2025</v>
      </c>
    </row>
    <row r="31" spans="1:11" x14ac:dyDescent="0.35">
      <c r="A31" s="8" t="s">
        <v>15</v>
      </c>
      <c r="B31" s="16">
        <v>2</v>
      </c>
      <c r="C31" t="s">
        <v>342</v>
      </c>
      <c r="D31" s="8" t="s">
        <v>325</v>
      </c>
      <c r="E31" s="14">
        <v>17872796</v>
      </c>
      <c r="F31" s="14">
        <v>4065021</v>
      </c>
      <c r="G31" s="14">
        <v>13807775</v>
      </c>
      <c r="H31" s="6">
        <v>0.77255819402851122</v>
      </c>
      <c r="I31" s="6">
        <v>0.22744180597148875</v>
      </c>
      <c r="J31" s="3">
        <v>45336</v>
      </c>
      <c r="K31">
        <v>2024</v>
      </c>
    </row>
    <row r="32" spans="1:11" x14ac:dyDescent="0.35">
      <c r="A32" s="8" t="s">
        <v>15</v>
      </c>
      <c r="B32" s="16">
        <v>2</v>
      </c>
      <c r="C32" t="s">
        <v>342</v>
      </c>
      <c r="D32" s="8" t="s">
        <v>11</v>
      </c>
      <c r="E32" s="14">
        <v>6641746</v>
      </c>
      <c r="F32" s="14">
        <v>2466037</v>
      </c>
      <c r="G32" s="14">
        <v>4175709</v>
      </c>
      <c r="H32" s="6">
        <v>0.62870651783431641</v>
      </c>
      <c r="I32" s="6">
        <v>0.37129348216568353</v>
      </c>
      <c r="J32" s="3">
        <v>45700</v>
      </c>
      <c r="K32">
        <v>2025</v>
      </c>
    </row>
    <row r="33" spans="1:11" x14ac:dyDescent="0.35">
      <c r="A33" s="8" t="s">
        <v>15</v>
      </c>
      <c r="B33" s="16">
        <v>2</v>
      </c>
      <c r="C33" t="s">
        <v>342</v>
      </c>
      <c r="D33" s="8" t="s">
        <v>11</v>
      </c>
      <c r="E33" s="14">
        <v>3115955</v>
      </c>
      <c r="F33" s="14">
        <v>2888010</v>
      </c>
      <c r="G33" s="14">
        <v>227945</v>
      </c>
      <c r="H33" s="6">
        <v>7.3154137335102717E-2</v>
      </c>
      <c r="I33" s="6">
        <v>0.92684586266489732</v>
      </c>
      <c r="J33" s="3">
        <v>45324</v>
      </c>
      <c r="K33">
        <v>2024</v>
      </c>
    </row>
    <row r="34" spans="1:11" x14ac:dyDescent="0.35">
      <c r="A34" s="8" t="s">
        <v>15</v>
      </c>
      <c r="B34" s="16">
        <v>2</v>
      </c>
      <c r="C34" t="s">
        <v>342</v>
      </c>
      <c r="D34" s="8" t="s">
        <v>11</v>
      </c>
      <c r="E34" s="14">
        <v>6641746</v>
      </c>
      <c r="F34" s="14">
        <v>2466037</v>
      </c>
      <c r="G34" s="14">
        <v>4175709</v>
      </c>
      <c r="H34" s="6">
        <v>0.62870651783431641</v>
      </c>
      <c r="I34" s="6">
        <v>0.37129348216568353</v>
      </c>
      <c r="J34" s="3">
        <v>45351</v>
      </c>
      <c r="K34">
        <v>2024</v>
      </c>
    </row>
    <row r="35" spans="1:11" x14ac:dyDescent="0.35">
      <c r="A35" s="8" t="s">
        <v>15</v>
      </c>
      <c r="B35" s="16">
        <v>2</v>
      </c>
      <c r="C35" t="s">
        <v>342</v>
      </c>
      <c r="D35" s="8" t="s">
        <v>325</v>
      </c>
      <c r="E35" s="14">
        <v>17872796</v>
      </c>
      <c r="F35" s="14">
        <v>4065021</v>
      </c>
      <c r="G35" s="14">
        <v>13807775</v>
      </c>
      <c r="H35" s="6">
        <v>0.77255819402851122</v>
      </c>
      <c r="I35" s="6">
        <v>0.22744180597148875</v>
      </c>
      <c r="J35" s="3">
        <v>45698</v>
      </c>
      <c r="K35">
        <v>2025</v>
      </c>
    </row>
    <row r="36" spans="1:11" x14ac:dyDescent="0.35">
      <c r="A36" s="8" t="s">
        <v>15</v>
      </c>
      <c r="B36" s="16">
        <v>2</v>
      </c>
      <c r="C36" t="s">
        <v>342</v>
      </c>
      <c r="D36" s="8" t="s">
        <v>11</v>
      </c>
      <c r="E36" s="14">
        <v>9814492</v>
      </c>
      <c r="F36" s="14">
        <v>5074629</v>
      </c>
      <c r="G36" s="14">
        <v>4739863</v>
      </c>
      <c r="H36" s="6">
        <v>0.48294532208085755</v>
      </c>
      <c r="I36" s="6">
        <v>0.51705467791914239</v>
      </c>
      <c r="J36" s="3">
        <v>45324</v>
      </c>
      <c r="K36">
        <v>2024</v>
      </c>
    </row>
    <row r="37" spans="1:11" x14ac:dyDescent="0.35">
      <c r="A37" s="8" t="s">
        <v>15</v>
      </c>
      <c r="B37" s="16">
        <v>2</v>
      </c>
      <c r="C37" t="s">
        <v>342</v>
      </c>
      <c r="D37" s="8" t="s">
        <v>325</v>
      </c>
      <c r="E37" s="14">
        <v>6659621</v>
      </c>
      <c r="F37" s="14">
        <v>5718412</v>
      </c>
      <c r="G37" s="14">
        <v>941209</v>
      </c>
      <c r="H37" s="6">
        <v>0.14133071536653513</v>
      </c>
      <c r="I37" s="6">
        <v>0.85866928463346492</v>
      </c>
      <c r="J37" s="3">
        <v>45700</v>
      </c>
      <c r="K37">
        <v>2025</v>
      </c>
    </row>
    <row r="38" spans="1:11" x14ac:dyDescent="0.35">
      <c r="A38" s="8" t="s">
        <v>15</v>
      </c>
      <c r="B38" s="16">
        <v>2</v>
      </c>
      <c r="C38" t="s">
        <v>342</v>
      </c>
      <c r="D38" s="8" t="s">
        <v>11</v>
      </c>
      <c r="E38" s="14">
        <v>9814492</v>
      </c>
      <c r="F38" s="14">
        <v>5074629</v>
      </c>
      <c r="G38" s="14">
        <v>4739863</v>
      </c>
      <c r="H38" s="6">
        <v>0.48294532208085755</v>
      </c>
      <c r="I38" s="6">
        <v>0.51705467791914239</v>
      </c>
      <c r="J38" s="3">
        <v>45340</v>
      </c>
      <c r="K38">
        <v>2024</v>
      </c>
    </row>
    <row r="39" spans="1:11" x14ac:dyDescent="0.35">
      <c r="A39" s="8" t="s">
        <v>15</v>
      </c>
      <c r="B39" s="16">
        <v>2</v>
      </c>
      <c r="C39" t="s">
        <v>342</v>
      </c>
      <c r="D39" s="8" t="s">
        <v>11</v>
      </c>
      <c r="E39" s="14">
        <v>6629660</v>
      </c>
      <c r="F39" s="14">
        <v>3523400</v>
      </c>
      <c r="G39" s="14">
        <v>3106260</v>
      </c>
      <c r="H39" s="6">
        <v>0.4685398647894462</v>
      </c>
      <c r="I39" s="6">
        <v>0.5314601352105538</v>
      </c>
      <c r="J39" s="3">
        <v>45331</v>
      </c>
      <c r="K39">
        <v>2024</v>
      </c>
    </row>
    <row r="40" spans="1:11" x14ac:dyDescent="0.35">
      <c r="A40" s="8" t="s">
        <v>15</v>
      </c>
      <c r="B40" s="16">
        <v>2</v>
      </c>
      <c r="C40" t="s">
        <v>342</v>
      </c>
      <c r="D40" s="8" t="s">
        <v>11</v>
      </c>
      <c r="E40" s="14">
        <v>9869633</v>
      </c>
      <c r="F40" s="14">
        <v>8708702</v>
      </c>
      <c r="G40" s="14">
        <v>1160931</v>
      </c>
      <c r="H40" s="6">
        <v>0.11762656220347809</v>
      </c>
      <c r="I40" s="6">
        <v>0.88237343779652189</v>
      </c>
      <c r="J40" s="3">
        <v>45338</v>
      </c>
      <c r="K40">
        <v>2024</v>
      </c>
    </row>
    <row r="41" spans="1:11" x14ac:dyDescent="0.35">
      <c r="A41" s="8" t="s">
        <v>15</v>
      </c>
      <c r="B41" s="16">
        <v>2</v>
      </c>
      <c r="C41" t="s">
        <v>342</v>
      </c>
      <c r="D41" s="8" t="s">
        <v>11</v>
      </c>
      <c r="E41" s="14">
        <v>9869633</v>
      </c>
      <c r="F41" s="14">
        <v>8708702</v>
      </c>
      <c r="G41" s="14">
        <v>1160931</v>
      </c>
      <c r="H41" s="6">
        <v>0.11762656220347809</v>
      </c>
      <c r="I41" s="6">
        <v>0.88237343779652189</v>
      </c>
      <c r="J41" s="3">
        <v>45699</v>
      </c>
      <c r="K41">
        <v>2025</v>
      </c>
    </row>
    <row r="42" spans="1:11" x14ac:dyDescent="0.35">
      <c r="A42" s="8" t="s">
        <v>13</v>
      </c>
      <c r="B42" s="16">
        <v>3</v>
      </c>
      <c r="C42" t="s">
        <v>342</v>
      </c>
      <c r="D42" s="8" t="s">
        <v>11</v>
      </c>
      <c r="E42" s="14">
        <v>10932582</v>
      </c>
      <c r="F42" s="14">
        <v>9516586</v>
      </c>
      <c r="G42" s="14">
        <v>1415996</v>
      </c>
      <c r="H42" s="6">
        <v>0.12952072986966848</v>
      </c>
      <c r="I42" s="6">
        <v>0.87047927013033155</v>
      </c>
      <c r="J42" s="3">
        <v>45372</v>
      </c>
      <c r="K42">
        <v>2024</v>
      </c>
    </row>
    <row r="43" spans="1:11" x14ac:dyDescent="0.35">
      <c r="A43" s="8" t="s">
        <v>13</v>
      </c>
      <c r="B43" s="16">
        <v>3</v>
      </c>
      <c r="C43" t="s">
        <v>342</v>
      </c>
      <c r="D43" s="8" t="s">
        <v>325</v>
      </c>
      <c r="E43" s="14">
        <v>13395811</v>
      </c>
      <c r="F43" s="14">
        <v>8109917</v>
      </c>
      <c r="G43" s="14">
        <v>5285894</v>
      </c>
      <c r="H43" s="6">
        <v>0.39459305599339972</v>
      </c>
      <c r="I43" s="6">
        <v>0.60540694400660022</v>
      </c>
      <c r="J43" s="3">
        <v>45721</v>
      </c>
      <c r="K43">
        <v>2025</v>
      </c>
    </row>
    <row r="44" spans="1:11" x14ac:dyDescent="0.35">
      <c r="A44" s="8" t="s">
        <v>13</v>
      </c>
      <c r="B44" s="16">
        <v>3</v>
      </c>
      <c r="C44" t="s">
        <v>342</v>
      </c>
      <c r="D44" s="8" t="s">
        <v>11</v>
      </c>
      <c r="E44" s="14">
        <v>7409657</v>
      </c>
      <c r="F44" s="14">
        <v>6271336</v>
      </c>
      <c r="G44" s="14">
        <v>1138321</v>
      </c>
      <c r="H44" s="6">
        <v>0.15362667934561614</v>
      </c>
      <c r="I44" s="6">
        <v>0.84637332065438386</v>
      </c>
      <c r="J44" s="3">
        <v>45365</v>
      </c>
      <c r="K44">
        <v>2024</v>
      </c>
    </row>
    <row r="45" spans="1:11" x14ac:dyDescent="0.35">
      <c r="A45" s="8" t="s">
        <v>13</v>
      </c>
      <c r="B45" s="16">
        <v>3</v>
      </c>
      <c r="C45" t="s">
        <v>342</v>
      </c>
      <c r="D45" s="8" t="s">
        <v>11</v>
      </c>
      <c r="E45" s="14">
        <v>7684666</v>
      </c>
      <c r="F45" s="14">
        <v>5053533</v>
      </c>
      <c r="G45" s="14">
        <v>2631133</v>
      </c>
      <c r="H45" s="6">
        <v>0.34238742451526194</v>
      </c>
      <c r="I45" s="6">
        <v>0.65761257548473806</v>
      </c>
      <c r="J45" s="3">
        <v>45363</v>
      </c>
      <c r="K45">
        <v>2024</v>
      </c>
    </row>
    <row r="46" spans="1:11" x14ac:dyDescent="0.35">
      <c r="A46" s="8" t="s">
        <v>13</v>
      </c>
      <c r="B46" s="16">
        <v>3</v>
      </c>
      <c r="C46" t="s">
        <v>342</v>
      </c>
      <c r="D46" s="8" t="s">
        <v>325</v>
      </c>
      <c r="E46" s="14">
        <v>13395811</v>
      </c>
      <c r="F46" s="14">
        <v>8109917</v>
      </c>
      <c r="G46" s="14">
        <v>5285894</v>
      </c>
      <c r="H46" s="6">
        <v>0.39459305599339972</v>
      </c>
      <c r="I46" s="6">
        <v>0.60540694400660022</v>
      </c>
      <c r="J46" s="3">
        <v>45362</v>
      </c>
      <c r="K46">
        <v>2024</v>
      </c>
    </row>
    <row r="47" spans="1:11" x14ac:dyDescent="0.35">
      <c r="A47" s="8" t="s">
        <v>13</v>
      </c>
      <c r="B47" s="16">
        <v>3</v>
      </c>
      <c r="C47" t="s">
        <v>342</v>
      </c>
      <c r="D47" s="8" t="s">
        <v>11</v>
      </c>
      <c r="E47" s="14">
        <v>6629660</v>
      </c>
      <c r="F47" s="14">
        <v>3523400</v>
      </c>
      <c r="G47" s="14">
        <v>3106260</v>
      </c>
      <c r="H47" s="6">
        <v>0.4685398647894462</v>
      </c>
      <c r="I47" s="6">
        <v>0.5314601352105538</v>
      </c>
      <c r="J47" s="3">
        <v>45373</v>
      </c>
      <c r="K47">
        <v>2024</v>
      </c>
    </row>
    <row r="48" spans="1:11" x14ac:dyDescent="0.35">
      <c r="A48" s="8" t="s">
        <v>13</v>
      </c>
      <c r="B48" s="16">
        <v>3</v>
      </c>
      <c r="C48" t="s">
        <v>342</v>
      </c>
      <c r="D48" s="8" t="s">
        <v>325</v>
      </c>
      <c r="E48" s="14">
        <v>9166769</v>
      </c>
      <c r="F48" s="14">
        <v>7049977</v>
      </c>
      <c r="G48" s="14">
        <v>2116792</v>
      </c>
      <c r="H48" s="6">
        <v>0.23092018572738116</v>
      </c>
      <c r="I48" s="6">
        <v>0.76907981427261884</v>
      </c>
      <c r="J48" s="3">
        <v>45372</v>
      </c>
      <c r="K48">
        <v>2024</v>
      </c>
    </row>
    <row r="49" spans="1:11" x14ac:dyDescent="0.35">
      <c r="A49" s="8" t="s">
        <v>13</v>
      </c>
      <c r="B49" s="16">
        <v>3</v>
      </c>
      <c r="C49" t="s">
        <v>342</v>
      </c>
      <c r="D49" s="8" t="s">
        <v>325</v>
      </c>
      <c r="E49" s="14">
        <v>10422659</v>
      </c>
      <c r="F49" s="14">
        <v>8777125</v>
      </c>
      <c r="G49" s="14">
        <v>1645534</v>
      </c>
      <c r="H49" s="6">
        <v>0.15788044106595064</v>
      </c>
      <c r="I49" s="6">
        <v>0.84211955893404933</v>
      </c>
      <c r="J49" s="3">
        <v>45722</v>
      </c>
      <c r="K49">
        <v>2025</v>
      </c>
    </row>
    <row r="50" spans="1:11" x14ac:dyDescent="0.35">
      <c r="A50" s="8" t="s">
        <v>13</v>
      </c>
      <c r="B50" s="16">
        <v>3</v>
      </c>
      <c r="C50" t="s">
        <v>342</v>
      </c>
      <c r="D50" s="8" t="s">
        <v>11</v>
      </c>
      <c r="E50" s="14">
        <v>2093322</v>
      </c>
      <c r="F50" s="14">
        <v>846252</v>
      </c>
      <c r="G50" s="14">
        <v>1247070</v>
      </c>
      <c r="H50" s="6">
        <v>0.59573730176246176</v>
      </c>
      <c r="I50" s="6">
        <v>0.40426269823753824</v>
      </c>
      <c r="J50" s="3">
        <v>45724</v>
      </c>
      <c r="K50">
        <v>2025</v>
      </c>
    </row>
    <row r="51" spans="1:11" x14ac:dyDescent="0.35">
      <c r="A51" s="8" t="s">
        <v>13</v>
      </c>
      <c r="B51" s="16">
        <v>3</v>
      </c>
      <c r="C51" t="s">
        <v>342</v>
      </c>
      <c r="D51" s="8" t="s">
        <v>325</v>
      </c>
      <c r="E51" s="14">
        <v>8925622</v>
      </c>
      <c r="F51" s="14">
        <v>7859625</v>
      </c>
      <c r="G51" s="14">
        <v>1065997</v>
      </c>
      <c r="H51" s="6">
        <v>0.11943111639726621</v>
      </c>
      <c r="I51" s="6">
        <v>0.88056888360273378</v>
      </c>
      <c r="J51" s="3">
        <v>45723</v>
      </c>
      <c r="K51">
        <v>2025</v>
      </c>
    </row>
    <row r="52" spans="1:11" x14ac:dyDescent="0.35">
      <c r="A52" s="8" t="s">
        <v>13</v>
      </c>
      <c r="B52" s="16">
        <v>3</v>
      </c>
      <c r="C52" t="s">
        <v>342</v>
      </c>
      <c r="D52" s="8" t="s">
        <v>11</v>
      </c>
      <c r="E52" s="14">
        <v>3115955</v>
      </c>
      <c r="F52" s="14">
        <v>2888010</v>
      </c>
      <c r="G52" s="14">
        <v>227945</v>
      </c>
      <c r="H52" s="6">
        <v>7.3154137335102717E-2</v>
      </c>
      <c r="I52" s="6">
        <v>0.92684586266489732</v>
      </c>
      <c r="J52" s="3">
        <v>45361</v>
      </c>
      <c r="K52">
        <v>2024</v>
      </c>
    </row>
    <row r="53" spans="1:11" x14ac:dyDescent="0.35">
      <c r="A53" s="8" t="s">
        <v>13</v>
      </c>
      <c r="B53" s="16">
        <v>3</v>
      </c>
      <c r="C53" t="s">
        <v>342</v>
      </c>
      <c r="D53" s="8" t="s">
        <v>11</v>
      </c>
      <c r="E53" s="14">
        <v>7713630</v>
      </c>
      <c r="F53" s="14">
        <v>1832250</v>
      </c>
      <c r="G53" s="14">
        <v>5881380</v>
      </c>
      <c r="H53" s="6">
        <v>0.7624659207143718</v>
      </c>
      <c r="I53" s="6">
        <v>0.23753407928562817</v>
      </c>
      <c r="J53" s="3">
        <v>45352</v>
      </c>
      <c r="K53">
        <v>2024</v>
      </c>
    </row>
    <row r="54" spans="1:11" x14ac:dyDescent="0.35">
      <c r="A54" s="8" t="s">
        <v>13</v>
      </c>
      <c r="B54" s="16">
        <v>3</v>
      </c>
      <c r="C54" t="s">
        <v>342</v>
      </c>
      <c r="D54" s="8" t="s">
        <v>11</v>
      </c>
      <c r="E54" s="14">
        <v>7409657</v>
      </c>
      <c r="F54" s="14">
        <v>6271336</v>
      </c>
      <c r="G54" s="14">
        <v>1138321</v>
      </c>
      <c r="H54" s="6">
        <v>0.15362667934561614</v>
      </c>
      <c r="I54" s="6">
        <v>0.84637332065438386</v>
      </c>
      <c r="J54" s="3">
        <v>45724</v>
      </c>
      <c r="K54">
        <v>2025</v>
      </c>
    </row>
    <row r="55" spans="1:11" x14ac:dyDescent="0.35">
      <c r="A55" s="8" t="s">
        <v>13</v>
      </c>
      <c r="B55" s="16">
        <v>3</v>
      </c>
      <c r="C55" t="s">
        <v>342</v>
      </c>
      <c r="D55" s="8" t="s">
        <v>325</v>
      </c>
      <c r="E55" s="14">
        <v>9406634</v>
      </c>
      <c r="F55" s="14">
        <v>1310092</v>
      </c>
      <c r="G55" s="14">
        <v>8096542</v>
      </c>
      <c r="H55" s="6">
        <v>0.8607268019570018</v>
      </c>
      <c r="I55" s="6">
        <v>0.13927319804299818</v>
      </c>
      <c r="J55" s="3">
        <v>45730</v>
      </c>
      <c r="K55">
        <v>2025</v>
      </c>
    </row>
    <row r="56" spans="1:11" x14ac:dyDescent="0.35">
      <c r="A56" s="8" t="s">
        <v>13</v>
      </c>
      <c r="B56" s="16">
        <v>3</v>
      </c>
      <c r="C56" t="s">
        <v>342</v>
      </c>
      <c r="D56" s="8" t="s">
        <v>11</v>
      </c>
      <c r="E56" s="14">
        <v>10932582</v>
      </c>
      <c r="F56" s="14">
        <v>9516586</v>
      </c>
      <c r="G56" s="14">
        <v>1415996</v>
      </c>
      <c r="H56" s="6">
        <v>0.12952072986966848</v>
      </c>
      <c r="I56" s="6">
        <v>0.87047927013033155</v>
      </c>
      <c r="J56" s="3">
        <v>45364</v>
      </c>
      <c r="K56">
        <v>2024</v>
      </c>
    </row>
    <row r="57" spans="1:11" x14ac:dyDescent="0.35">
      <c r="A57" s="8" t="s">
        <v>13</v>
      </c>
      <c r="B57" s="16">
        <v>3</v>
      </c>
      <c r="C57" t="s">
        <v>342</v>
      </c>
      <c r="D57" s="8" t="s">
        <v>325</v>
      </c>
      <c r="E57" s="14">
        <v>17872796</v>
      </c>
      <c r="F57" s="14">
        <v>4065021</v>
      </c>
      <c r="G57" s="14">
        <v>13807775</v>
      </c>
      <c r="H57" s="6">
        <v>0.77255819402851122</v>
      </c>
      <c r="I57" s="6">
        <v>0.22744180597148875</v>
      </c>
      <c r="J57" s="3">
        <v>45379</v>
      </c>
      <c r="K57">
        <v>2024</v>
      </c>
    </row>
    <row r="58" spans="1:11" x14ac:dyDescent="0.35">
      <c r="A58" s="8" t="s">
        <v>13</v>
      </c>
      <c r="B58" s="16">
        <v>3</v>
      </c>
      <c r="C58" t="s">
        <v>342</v>
      </c>
      <c r="D58" s="8" t="s">
        <v>11</v>
      </c>
      <c r="E58" s="14">
        <v>9869633</v>
      </c>
      <c r="F58" s="14">
        <v>8708702</v>
      </c>
      <c r="G58" s="14">
        <v>1160931</v>
      </c>
      <c r="H58" s="6">
        <v>0.11762656220347809</v>
      </c>
      <c r="I58" s="6">
        <v>0.88237343779652189</v>
      </c>
      <c r="J58" s="3">
        <v>45364</v>
      </c>
      <c r="K58">
        <v>2024</v>
      </c>
    </row>
    <row r="59" spans="1:11" x14ac:dyDescent="0.35">
      <c r="A59" s="8" t="s">
        <v>13</v>
      </c>
      <c r="B59" s="16">
        <v>3</v>
      </c>
      <c r="C59" t="s">
        <v>342</v>
      </c>
      <c r="D59" s="8" t="s">
        <v>325</v>
      </c>
      <c r="E59" s="14">
        <v>17872796</v>
      </c>
      <c r="F59" s="14">
        <v>4065021</v>
      </c>
      <c r="G59" s="14">
        <v>13807775</v>
      </c>
      <c r="H59" s="6">
        <v>0.77255819402851122</v>
      </c>
      <c r="I59" s="6">
        <v>0.22744180597148875</v>
      </c>
      <c r="J59" s="3">
        <v>45740</v>
      </c>
      <c r="K59">
        <v>2025</v>
      </c>
    </row>
    <row r="60" spans="1:11" x14ac:dyDescent="0.35">
      <c r="A60" s="8" t="s">
        <v>13</v>
      </c>
      <c r="B60" s="16">
        <v>3</v>
      </c>
      <c r="C60" t="s">
        <v>342</v>
      </c>
      <c r="D60" s="8" t="s">
        <v>325</v>
      </c>
      <c r="E60" s="14">
        <v>13243123</v>
      </c>
      <c r="F60" s="14">
        <v>5468428</v>
      </c>
      <c r="G60" s="14">
        <v>7774695</v>
      </c>
      <c r="H60" s="6">
        <v>0.5870741365159865</v>
      </c>
      <c r="I60" s="6">
        <v>0.41292586348401356</v>
      </c>
      <c r="J60" s="3">
        <v>45381</v>
      </c>
      <c r="K60">
        <v>2024</v>
      </c>
    </row>
    <row r="61" spans="1:11" x14ac:dyDescent="0.35">
      <c r="A61" s="8" t="s">
        <v>13</v>
      </c>
      <c r="B61" s="16">
        <v>3</v>
      </c>
      <c r="C61" t="s">
        <v>342</v>
      </c>
      <c r="D61" s="8" t="s">
        <v>11</v>
      </c>
      <c r="E61" s="14">
        <v>9869633</v>
      </c>
      <c r="F61" s="14">
        <v>8708702</v>
      </c>
      <c r="G61" s="14">
        <v>1160931</v>
      </c>
      <c r="H61" s="6">
        <v>0.11762656220347809</v>
      </c>
      <c r="I61" s="6">
        <v>0.88237343779652189</v>
      </c>
      <c r="J61" s="3">
        <v>45737</v>
      </c>
      <c r="K61">
        <v>2025</v>
      </c>
    </row>
    <row r="62" spans="1:11" x14ac:dyDescent="0.35">
      <c r="A62" s="8" t="s">
        <v>50</v>
      </c>
      <c r="B62" s="16">
        <v>4</v>
      </c>
      <c r="C62" t="s">
        <v>343</v>
      </c>
      <c r="D62" s="8" t="s">
        <v>11</v>
      </c>
      <c r="E62" s="14">
        <v>7409657</v>
      </c>
      <c r="F62" s="14">
        <v>6271336</v>
      </c>
      <c r="G62" s="14">
        <v>1138321</v>
      </c>
      <c r="H62" s="6">
        <v>0.15362667934561614</v>
      </c>
      <c r="I62" s="6">
        <v>0.84637332065438386</v>
      </c>
      <c r="J62" s="3">
        <v>45385</v>
      </c>
      <c r="K62">
        <v>2024</v>
      </c>
    </row>
    <row r="63" spans="1:11" x14ac:dyDescent="0.35">
      <c r="A63" s="8" t="s">
        <v>50</v>
      </c>
      <c r="B63" s="16">
        <v>4</v>
      </c>
      <c r="C63" t="s">
        <v>343</v>
      </c>
      <c r="D63" s="8" t="s">
        <v>11</v>
      </c>
      <c r="E63" s="14">
        <v>6629660</v>
      </c>
      <c r="F63" s="14">
        <v>3523400</v>
      </c>
      <c r="G63" s="14">
        <v>3106260</v>
      </c>
      <c r="H63" s="6">
        <v>0.4685398647894462</v>
      </c>
      <c r="I63" s="6">
        <v>0.5314601352105538</v>
      </c>
      <c r="J63" s="3">
        <v>45765</v>
      </c>
      <c r="K63">
        <v>2025</v>
      </c>
    </row>
    <row r="64" spans="1:11" x14ac:dyDescent="0.35">
      <c r="A64" s="8" t="s">
        <v>50</v>
      </c>
      <c r="B64" s="16">
        <v>4</v>
      </c>
      <c r="C64" t="s">
        <v>343</v>
      </c>
      <c r="D64" s="8" t="s">
        <v>11</v>
      </c>
      <c r="E64" s="14">
        <v>10887632</v>
      </c>
      <c r="F64" s="14">
        <v>3314932</v>
      </c>
      <c r="G64" s="14">
        <v>7572700</v>
      </c>
      <c r="H64" s="6">
        <v>0.69553232511899743</v>
      </c>
      <c r="I64" s="6">
        <v>0.30446767488100257</v>
      </c>
      <c r="J64" s="3">
        <v>45756</v>
      </c>
      <c r="K64">
        <v>2025</v>
      </c>
    </row>
    <row r="65" spans="1:11" x14ac:dyDescent="0.35">
      <c r="A65" s="8" t="s">
        <v>50</v>
      </c>
      <c r="B65" s="16">
        <v>4</v>
      </c>
      <c r="C65" t="s">
        <v>343</v>
      </c>
      <c r="D65" s="8" t="s">
        <v>11</v>
      </c>
      <c r="E65" s="14">
        <v>6629660</v>
      </c>
      <c r="F65" s="14">
        <v>3523400</v>
      </c>
      <c r="G65" s="14">
        <v>3106260</v>
      </c>
      <c r="H65" s="6">
        <v>0.4685398647894462</v>
      </c>
      <c r="I65" s="6">
        <v>0.5314601352105538</v>
      </c>
      <c r="J65" s="3">
        <v>45761</v>
      </c>
      <c r="K65">
        <v>2025</v>
      </c>
    </row>
    <row r="66" spans="1:11" x14ac:dyDescent="0.35">
      <c r="A66" s="8" t="s">
        <v>50</v>
      </c>
      <c r="B66" s="16">
        <v>4</v>
      </c>
      <c r="C66" t="s">
        <v>343</v>
      </c>
      <c r="D66" s="8" t="s">
        <v>11</v>
      </c>
      <c r="E66" s="14">
        <v>5297234</v>
      </c>
      <c r="F66" s="14">
        <v>3596622</v>
      </c>
      <c r="G66" s="14">
        <v>1700612</v>
      </c>
      <c r="H66" s="6">
        <v>0.32103773403251584</v>
      </c>
      <c r="I66" s="6">
        <v>0.67896226596748421</v>
      </c>
      <c r="J66" s="3">
        <v>45396</v>
      </c>
      <c r="K66">
        <v>2024</v>
      </c>
    </row>
    <row r="67" spans="1:11" x14ac:dyDescent="0.35">
      <c r="A67" s="8" t="s">
        <v>50</v>
      </c>
      <c r="B67" s="16">
        <v>4</v>
      </c>
      <c r="C67" t="s">
        <v>343</v>
      </c>
      <c r="D67" s="8" t="s">
        <v>11</v>
      </c>
      <c r="E67" s="14">
        <v>10932582</v>
      </c>
      <c r="F67" s="14">
        <v>9516586</v>
      </c>
      <c r="G67" s="14">
        <v>1415996</v>
      </c>
      <c r="H67" s="6">
        <v>0.12952072986966848</v>
      </c>
      <c r="I67" s="6">
        <v>0.87047927013033155</v>
      </c>
      <c r="J67" s="3">
        <v>45400</v>
      </c>
      <c r="K67">
        <v>2024</v>
      </c>
    </row>
    <row r="68" spans="1:11" x14ac:dyDescent="0.35">
      <c r="A68" s="8" t="s">
        <v>50</v>
      </c>
      <c r="B68" s="16">
        <v>4</v>
      </c>
      <c r="C68" t="s">
        <v>343</v>
      </c>
      <c r="D68" s="8" t="s">
        <v>11</v>
      </c>
      <c r="E68" s="14">
        <v>5297234</v>
      </c>
      <c r="F68" s="14">
        <v>3596622</v>
      </c>
      <c r="G68" s="14">
        <v>1700612</v>
      </c>
      <c r="H68" s="6">
        <v>0.32103773403251584</v>
      </c>
      <c r="I68" s="6">
        <v>0.67896226596748421</v>
      </c>
      <c r="J68" s="3">
        <v>45406</v>
      </c>
      <c r="K68">
        <v>2024</v>
      </c>
    </row>
    <row r="69" spans="1:11" x14ac:dyDescent="0.35">
      <c r="A69" s="8" t="s">
        <v>50</v>
      </c>
      <c r="B69" s="16">
        <v>4</v>
      </c>
      <c r="C69" t="s">
        <v>343</v>
      </c>
      <c r="D69" s="8" t="s">
        <v>325</v>
      </c>
      <c r="E69" s="14">
        <v>13395142</v>
      </c>
      <c r="F69" s="14">
        <v>3866714</v>
      </c>
      <c r="G69" s="14">
        <v>9528428</v>
      </c>
      <c r="H69" s="6">
        <v>0.71133460175338192</v>
      </c>
      <c r="I69" s="6">
        <v>0.28866539824661808</v>
      </c>
      <c r="J69" s="3">
        <v>45771</v>
      </c>
      <c r="K69">
        <v>2025</v>
      </c>
    </row>
    <row r="70" spans="1:11" x14ac:dyDescent="0.35">
      <c r="A70" s="8" t="s">
        <v>50</v>
      </c>
      <c r="B70" s="16">
        <v>4</v>
      </c>
      <c r="C70" t="s">
        <v>343</v>
      </c>
      <c r="D70" s="8" t="s">
        <v>325</v>
      </c>
      <c r="E70" s="14">
        <v>13395142</v>
      </c>
      <c r="F70" s="14">
        <v>3866714</v>
      </c>
      <c r="G70" s="14">
        <v>9528428</v>
      </c>
      <c r="H70" s="6">
        <v>0.71133460175338192</v>
      </c>
      <c r="I70" s="6">
        <v>0.28866539824661808</v>
      </c>
      <c r="J70" s="3">
        <v>45406</v>
      </c>
      <c r="K70">
        <v>2024</v>
      </c>
    </row>
    <row r="71" spans="1:11" x14ac:dyDescent="0.35">
      <c r="A71" s="8" t="s">
        <v>50</v>
      </c>
      <c r="B71" s="16">
        <v>4</v>
      </c>
      <c r="C71" t="s">
        <v>343</v>
      </c>
      <c r="D71" s="8" t="s">
        <v>325</v>
      </c>
      <c r="E71" s="14">
        <v>10655734</v>
      </c>
      <c r="F71" s="14">
        <v>2408508</v>
      </c>
      <c r="G71" s="14">
        <v>8247226</v>
      </c>
      <c r="H71" s="6">
        <v>0.77397070910366195</v>
      </c>
      <c r="I71" s="6">
        <v>0.22602929089633805</v>
      </c>
      <c r="J71" s="3">
        <v>45409</v>
      </c>
      <c r="K71">
        <v>2024</v>
      </c>
    </row>
    <row r="72" spans="1:11" x14ac:dyDescent="0.35">
      <c r="A72" s="8" t="s">
        <v>50</v>
      </c>
      <c r="B72" s="16">
        <v>4</v>
      </c>
      <c r="C72" t="s">
        <v>343</v>
      </c>
      <c r="D72" s="8" t="s">
        <v>325</v>
      </c>
      <c r="E72" s="14">
        <v>9406634</v>
      </c>
      <c r="F72" s="14">
        <v>1310092</v>
      </c>
      <c r="G72" s="14">
        <v>8096542</v>
      </c>
      <c r="H72" s="6">
        <v>0.8607268019570018</v>
      </c>
      <c r="I72" s="6">
        <v>0.13927319804299818</v>
      </c>
      <c r="J72" s="3">
        <v>45751</v>
      </c>
      <c r="K72">
        <v>2025</v>
      </c>
    </row>
    <row r="73" spans="1:11" x14ac:dyDescent="0.35">
      <c r="A73" s="8" t="s">
        <v>50</v>
      </c>
      <c r="B73" s="16">
        <v>4</v>
      </c>
      <c r="C73" t="s">
        <v>343</v>
      </c>
      <c r="D73" s="8" t="s">
        <v>11</v>
      </c>
      <c r="E73" s="14">
        <v>7684666</v>
      </c>
      <c r="F73" s="14">
        <v>5053533</v>
      </c>
      <c r="G73" s="14">
        <v>2631133</v>
      </c>
      <c r="H73" s="6">
        <v>0.34238742451526194</v>
      </c>
      <c r="I73" s="6">
        <v>0.65761257548473806</v>
      </c>
      <c r="J73" s="3">
        <v>45404</v>
      </c>
      <c r="K73">
        <v>2024</v>
      </c>
    </row>
    <row r="74" spans="1:11" x14ac:dyDescent="0.35">
      <c r="A74" s="8" t="s">
        <v>50</v>
      </c>
      <c r="B74" s="16">
        <v>4</v>
      </c>
      <c r="C74" t="s">
        <v>343</v>
      </c>
      <c r="D74" s="8" t="s">
        <v>11</v>
      </c>
      <c r="E74" s="14">
        <v>10887632</v>
      </c>
      <c r="F74" s="14">
        <v>3314932</v>
      </c>
      <c r="G74" s="14">
        <v>7572700</v>
      </c>
      <c r="H74" s="6">
        <v>0.69553232511899743</v>
      </c>
      <c r="I74" s="6">
        <v>0.30446767488100257</v>
      </c>
      <c r="J74" s="3">
        <v>45386</v>
      </c>
      <c r="K74">
        <v>2024</v>
      </c>
    </row>
    <row r="75" spans="1:11" x14ac:dyDescent="0.35">
      <c r="A75" s="8" t="s">
        <v>50</v>
      </c>
      <c r="B75" s="16">
        <v>4</v>
      </c>
      <c r="C75" t="s">
        <v>343</v>
      </c>
      <c r="D75" s="8" t="s">
        <v>11</v>
      </c>
      <c r="E75" s="14">
        <v>9814492</v>
      </c>
      <c r="F75" s="14">
        <v>5074629</v>
      </c>
      <c r="G75" s="14">
        <v>4739863</v>
      </c>
      <c r="H75" s="6">
        <v>0.48294532208085755</v>
      </c>
      <c r="I75" s="6">
        <v>0.51705467791914239</v>
      </c>
      <c r="J75" s="3">
        <v>45406</v>
      </c>
      <c r="K75">
        <v>2024</v>
      </c>
    </row>
    <row r="76" spans="1:11" x14ac:dyDescent="0.35">
      <c r="A76" s="8" t="s">
        <v>50</v>
      </c>
      <c r="B76" s="16">
        <v>4</v>
      </c>
      <c r="C76" t="s">
        <v>343</v>
      </c>
      <c r="D76" s="8" t="s">
        <v>11</v>
      </c>
      <c r="E76" s="14">
        <v>6629660</v>
      </c>
      <c r="F76" s="14">
        <v>3523400</v>
      </c>
      <c r="G76" s="14">
        <v>3106260</v>
      </c>
      <c r="H76" s="6">
        <v>0.4685398647894462</v>
      </c>
      <c r="I76" s="6">
        <v>0.5314601352105538</v>
      </c>
      <c r="J76" s="3">
        <v>45391</v>
      </c>
      <c r="K76">
        <v>2024</v>
      </c>
    </row>
    <row r="77" spans="1:11" x14ac:dyDescent="0.35">
      <c r="A77" s="8" t="s">
        <v>50</v>
      </c>
      <c r="B77" s="16">
        <v>4</v>
      </c>
      <c r="C77" t="s">
        <v>343</v>
      </c>
      <c r="D77" s="8" t="s">
        <v>325</v>
      </c>
      <c r="E77" s="14">
        <v>17772619</v>
      </c>
      <c r="F77" s="14">
        <v>3751148</v>
      </c>
      <c r="G77" s="14">
        <v>14021471</v>
      </c>
      <c r="H77" s="6">
        <v>0.78893667838150361</v>
      </c>
      <c r="I77" s="6">
        <v>0.21106332161849642</v>
      </c>
      <c r="J77" s="3">
        <v>45390</v>
      </c>
      <c r="K77">
        <v>2024</v>
      </c>
    </row>
    <row r="78" spans="1:11" x14ac:dyDescent="0.35">
      <c r="A78" s="8" t="s">
        <v>50</v>
      </c>
      <c r="B78" s="16">
        <v>4</v>
      </c>
      <c r="C78" t="s">
        <v>343</v>
      </c>
      <c r="D78" s="8" t="s">
        <v>325</v>
      </c>
      <c r="E78" s="14">
        <v>13395811</v>
      </c>
      <c r="F78" s="14">
        <v>8109917</v>
      </c>
      <c r="G78" s="14">
        <v>5285894</v>
      </c>
      <c r="H78" s="6">
        <v>0.39459305599339972</v>
      </c>
      <c r="I78" s="6">
        <v>0.60540694400660022</v>
      </c>
      <c r="J78" s="3">
        <v>45754</v>
      </c>
      <c r="K78">
        <v>2025</v>
      </c>
    </row>
    <row r="79" spans="1:11" x14ac:dyDescent="0.35">
      <c r="A79" s="8" t="s">
        <v>50</v>
      </c>
      <c r="B79" s="16">
        <v>4</v>
      </c>
      <c r="C79" t="s">
        <v>343</v>
      </c>
      <c r="D79" s="8" t="s">
        <v>325</v>
      </c>
      <c r="E79" s="14">
        <v>10655734</v>
      </c>
      <c r="F79" s="14">
        <v>2408508</v>
      </c>
      <c r="G79" s="14">
        <v>8247226</v>
      </c>
      <c r="H79" s="6">
        <v>0.77397070910366195</v>
      </c>
      <c r="I79" s="6">
        <v>0.22602929089633805</v>
      </c>
      <c r="J79" s="3">
        <v>45396</v>
      </c>
      <c r="K79">
        <v>2024</v>
      </c>
    </row>
    <row r="80" spans="1:11" x14ac:dyDescent="0.35">
      <c r="A80" s="8" t="s">
        <v>50</v>
      </c>
      <c r="B80" s="16">
        <v>4</v>
      </c>
      <c r="C80" t="s">
        <v>343</v>
      </c>
      <c r="D80" s="8" t="s">
        <v>11</v>
      </c>
      <c r="E80" s="14">
        <v>9869633</v>
      </c>
      <c r="F80" s="14">
        <v>8708702</v>
      </c>
      <c r="G80" s="14">
        <v>1160931</v>
      </c>
      <c r="H80" s="6">
        <v>0.11762656220347809</v>
      </c>
      <c r="I80" s="6">
        <v>0.88237343779652189</v>
      </c>
      <c r="J80" s="3">
        <v>45387</v>
      </c>
      <c r="K80">
        <v>2024</v>
      </c>
    </row>
    <row r="81" spans="1:11" x14ac:dyDescent="0.35">
      <c r="A81" s="8" t="s">
        <v>50</v>
      </c>
      <c r="B81" s="16">
        <v>4</v>
      </c>
      <c r="C81" t="s">
        <v>343</v>
      </c>
      <c r="D81" s="8" t="s">
        <v>11</v>
      </c>
      <c r="E81" s="14">
        <v>3115955</v>
      </c>
      <c r="F81" s="14">
        <v>2888010</v>
      </c>
      <c r="G81" s="14">
        <v>227945</v>
      </c>
      <c r="H81" s="6">
        <v>7.3154137335102717E-2</v>
      </c>
      <c r="I81" s="6">
        <v>0.92684586266489732</v>
      </c>
      <c r="J81" s="3">
        <v>45395</v>
      </c>
      <c r="K81">
        <v>2024</v>
      </c>
    </row>
    <row r="82" spans="1:11" x14ac:dyDescent="0.35">
      <c r="A82" s="8" t="s">
        <v>50</v>
      </c>
      <c r="B82" s="16">
        <v>4</v>
      </c>
      <c r="C82" t="s">
        <v>343</v>
      </c>
      <c r="D82" s="8" t="s">
        <v>325</v>
      </c>
      <c r="E82" s="14">
        <v>13395142</v>
      </c>
      <c r="F82" s="14">
        <v>3866714</v>
      </c>
      <c r="G82" s="14">
        <v>9528428</v>
      </c>
      <c r="H82" s="6">
        <v>0.71133460175338192</v>
      </c>
      <c r="I82" s="6">
        <v>0.28866539824661808</v>
      </c>
      <c r="J82" s="3">
        <v>45762</v>
      </c>
      <c r="K82">
        <v>2025</v>
      </c>
    </row>
    <row r="83" spans="1:11" x14ac:dyDescent="0.35">
      <c r="A83" s="8" t="s">
        <v>50</v>
      </c>
      <c r="B83" s="16">
        <v>4</v>
      </c>
      <c r="C83" t="s">
        <v>343</v>
      </c>
      <c r="D83" s="8" t="s">
        <v>11</v>
      </c>
      <c r="E83" s="14">
        <v>7684666</v>
      </c>
      <c r="F83" s="14">
        <v>5053533</v>
      </c>
      <c r="G83" s="14">
        <v>2631133</v>
      </c>
      <c r="H83" s="6">
        <v>0.34238742451526194</v>
      </c>
      <c r="I83" s="6">
        <v>0.65761257548473806</v>
      </c>
      <c r="J83" s="3">
        <v>45390</v>
      </c>
      <c r="K83">
        <v>2024</v>
      </c>
    </row>
    <row r="84" spans="1:11" x14ac:dyDescent="0.35">
      <c r="A84" s="8" t="s">
        <v>10</v>
      </c>
      <c r="B84" s="16">
        <v>5</v>
      </c>
      <c r="C84" t="s">
        <v>343</v>
      </c>
      <c r="D84" s="8" t="s">
        <v>325</v>
      </c>
      <c r="E84" s="14">
        <v>12433378</v>
      </c>
      <c r="F84" s="14">
        <v>3398230</v>
      </c>
      <c r="G84" s="14">
        <v>9035148</v>
      </c>
      <c r="H84" s="6">
        <v>0.72668489609179421</v>
      </c>
      <c r="I84" s="6">
        <v>0.27331510390820579</v>
      </c>
      <c r="J84" s="3">
        <v>45787</v>
      </c>
      <c r="K84">
        <v>2025</v>
      </c>
    </row>
    <row r="85" spans="1:11" x14ac:dyDescent="0.35">
      <c r="A85" s="8" t="s">
        <v>10</v>
      </c>
      <c r="B85" s="16">
        <v>5</v>
      </c>
      <c r="C85" t="s">
        <v>343</v>
      </c>
      <c r="D85" s="8" t="s">
        <v>11</v>
      </c>
      <c r="E85" s="14">
        <v>9869633</v>
      </c>
      <c r="F85" s="14">
        <v>8708702</v>
      </c>
      <c r="G85" s="14">
        <v>1160931</v>
      </c>
      <c r="H85" s="6">
        <v>0.11762656220347809</v>
      </c>
      <c r="I85" s="6">
        <v>0.88237343779652189</v>
      </c>
      <c r="J85" s="3">
        <v>45418</v>
      </c>
      <c r="K85">
        <v>2024</v>
      </c>
    </row>
    <row r="86" spans="1:11" x14ac:dyDescent="0.35">
      <c r="A86" s="8" t="s">
        <v>10</v>
      </c>
      <c r="B86" s="16">
        <v>5</v>
      </c>
      <c r="C86" t="s">
        <v>343</v>
      </c>
      <c r="D86" s="8" t="s">
        <v>11</v>
      </c>
      <c r="E86" s="14">
        <v>2093322</v>
      </c>
      <c r="F86" s="14">
        <v>846252</v>
      </c>
      <c r="G86" s="14">
        <v>1247070</v>
      </c>
      <c r="H86" s="6">
        <v>0.59573730176246176</v>
      </c>
      <c r="I86" s="6">
        <v>0.40426269823753824</v>
      </c>
      <c r="J86" s="3">
        <v>45434</v>
      </c>
      <c r="K86">
        <v>2024</v>
      </c>
    </row>
    <row r="87" spans="1:11" x14ac:dyDescent="0.35">
      <c r="A87" s="8" t="s">
        <v>10</v>
      </c>
      <c r="B87" s="16">
        <v>5</v>
      </c>
      <c r="C87" t="s">
        <v>343</v>
      </c>
      <c r="D87" s="8" t="s">
        <v>325</v>
      </c>
      <c r="E87" s="14">
        <v>13243123</v>
      </c>
      <c r="F87" s="14">
        <v>5468428</v>
      </c>
      <c r="G87" s="14">
        <v>7774695</v>
      </c>
      <c r="H87" s="6">
        <v>0.5870741365159865</v>
      </c>
      <c r="I87" s="6">
        <v>0.41292586348401356</v>
      </c>
      <c r="J87" s="3">
        <v>45778</v>
      </c>
      <c r="K87">
        <v>2025</v>
      </c>
    </row>
    <row r="88" spans="1:11" x14ac:dyDescent="0.35">
      <c r="A88" s="8" t="s">
        <v>10</v>
      </c>
      <c r="B88" s="16">
        <v>5</v>
      </c>
      <c r="C88" t="s">
        <v>343</v>
      </c>
      <c r="D88" s="8" t="s">
        <v>325</v>
      </c>
      <c r="E88" s="14">
        <v>9166769</v>
      </c>
      <c r="F88" s="14">
        <v>7049977</v>
      </c>
      <c r="G88" s="14">
        <v>2116792</v>
      </c>
      <c r="H88" s="6">
        <v>0.23092018572738116</v>
      </c>
      <c r="I88" s="6">
        <v>0.76907981427261884</v>
      </c>
      <c r="J88" s="3">
        <v>45423</v>
      </c>
      <c r="K88">
        <v>2024</v>
      </c>
    </row>
    <row r="89" spans="1:11" x14ac:dyDescent="0.35">
      <c r="A89" s="8" t="s">
        <v>10</v>
      </c>
      <c r="B89" s="16">
        <v>5</v>
      </c>
      <c r="C89" t="s">
        <v>343</v>
      </c>
      <c r="D89" s="8" t="s">
        <v>325</v>
      </c>
      <c r="E89" s="14">
        <v>9406634</v>
      </c>
      <c r="F89" s="14">
        <v>1310092</v>
      </c>
      <c r="G89" s="14">
        <v>8096542</v>
      </c>
      <c r="H89" s="6">
        <v>0.8607268019570018</v>
      </c>
      <c r="I89" s="6">
        <v>0.13927319804299818</v>
      </c>
      <c r="J89" s="3">
        <v>45420</v>
      </c>
      <c r="K89">
        <v>2024</v>
      </c>
    </row>
    <row r="90" spans="1:11" x14ac:dyDescent="0.35">
      <c r="A90" s="8" t="s">
        <v>10</v>
      </c>
      <c r="B90" s="16">
        <v>5</v>
      </c>
      <c r="C90" t="s">
        <v>343</v>
      </c>
      <c r="D90" s="8" t="s">
        <v>11</v>
      </c>
      <c r="E90" s="14">
        <v>7684666</v>
      </c>
      <c r="F90" s="14">
        <v>5053533</v>
      </c>
      <c r="G90" s="14">
        <v>2631133</v>
      </c>
      <c r="H90" s="6">
        <v>0.34238742451526194</v>
      </c>
      <c r="I90" s="6">
        <v>0.65761257548473806</v>
      </c>
      <c r="J90" s="3">
        <v>45420</v>
      </c>
      <c r="K90">
        <v>2024</v>
      </c>
    </row>
    <row r="91" spans="1:11" x14ac:dyDescent="0.35">
      <c r="A91" s="8" t="s">
        <v>10</v>
      </c>
      <c r="B91" s="16">
        <v>5</v>
      </c>
      <c r="C91" t="s">
        <v>343</v>
      </c>
      <c r="D91" s="8" t="s">
        <v>11</v>
      </c>
      <c r="E91" s="14">
        <v>5297234</v>
      </c>
      <c r="F91" s="14">
        <v>3596622</v>
      </c>
      <c r="G91" s="14">
        <v>1700612</v>
      </c>
      <c r="H91" s="6">
        <v>0.32103773403251584</v>
      </c>
      <c r="I91" s="6">
        <v>0.67896226596748421</v>
      </c>
      <c r="J91" s="3">
        <v>45803</v>
      </c>
      <c r="K91">
        <v>2025</v>
      </c>
    </row>
    <row r="92" spans="1:11" x14ac:dyDescent="0.35">
      <c r="A92" s="8" t="s">
        <v>10</v>
      </c>
      <c r="B92" s="16">
        <v>5</v>
      </c>
      <c r="C92" t="s">
        <v>343</v>
      </c>
      <c r="D92" s="8" t="s">
        <v>11</v>
      </c>
      <c r="E92" s="14">
        <v>6641746</v>
      </c>
      <c r="F92" s="14">
        <v>2466037</v>
      </c>
      <c r="G92" s="14">
        <v>4175709</v>
      </c>
      <c r="H92" s="6">
        <v>0.62870651783431641</v>
      </c>
      <c r="I92" s="6">
        <v>0.37129348216568353</v>
      </c>
      <c r="J92" s="3">
        <v>45804</v>
      </c>
      <c r="K92">
        <v>2025</v>
      </c>
    </row>
    <row r="93" spans="1:11" x14ac:dyDescent="0.35">
      <c r="A93" s="8" t="s">
        <v>10</v>
      </c>
      <c r="B93" s="16">
        <v>5</v>
      </c>
      <c r="C93" t="s">
        <v>343</v>
      </c>
      <c r="D93" s="8" t="s">
        <v>11</v>
      </c>
      <c r="E93" s="14">
        <v>6641746</v>
      </c>
      <c r="F93" s="14">
        <v>2466037</v>
      </c>
      <c r="G93" s="14">
        <v>4175709</v>
      </c>
      <c r="H93" s="6">
        <v>0.62870651783431641</v>
      </c>
      <c r="I93" s="6">
        <v>0.37129348216568353</v>
      </c>
      <c r="J93" s="3">
        <v>45438</v>
      </c>
      <c r="K93">
        <v>2024</v>
      </c>
    </row>
    <row r="94" spans="1:11" x14ac:dyDescent="0.35">
      <c r="A94" s="8" t="s">
        <v>10</v>
      </c>
      <c r="B94" s="16">
        <v>5</v>
      </c>
      <c r="C94" t="s">
        <v>343</v>
      </c>
      <c r="D94" s="8" t="s">
        <v>325</v>
      </c>
      <c r="E94" s="14">
        <v>10655734</v>
      </c>
      <c r="F94" s="14">
        <v>2408508</v>
      </c>
      <c r="G94" s="14">
        <v>8247226</v>
      </c>
      <c r="H94" s="6">
        <v>0.77397070910366195</v>
      </c>
      <c r="I94" s="6">
        <v>0.22602929089633805</v>
      </c>
      <c r="J94" s="3">
        <v>45778</v>
      </c>
      <c r="K94">
        <v>2025</v>
      </c>
    </row>
    <row r="95" spans="1:11" x14ac:dyDescent="0.35">
      <c r="A95" s="8" t="s">
        <v>10</v>
      </c>
      <c r="B95" s="16">
        <v>5</v>
      </c>
      <c r="C95" t="s">
        <v>343</v>
      </c>
      <c r="D95" s="8" t="s">
        <v>325</v>
      </c>
      <c r="E95" s="14">
        <v>8925622</v>
      </c>
      <c r="F95" s="14">
        <v>7859625</v>
      </c>
      <c r="G95" s="14">
        <v>1065997</v>
      </c>
      <c r="H95" s="6">
        <v>0.11943111639726621</v>
      </c>
      <c r="I95" s="6">
        <v>0.88056888360273378</v>
      </c>
      <c r="J95" s="3">
        <v>45433</v>
      </c>
      <c r="K95">
        <v>2024</v>
      </c>
    </row>
    <row r="96" spans="1:11" x14ac:dyDescent="0.35">
      <c r="A96" s="8" t="s">
        <v>10</v>
      </c>
      <c r="B96" s="16">
        <v>5</v>
      </c>
      <c r="C96" t="s">
        <v>343</v>
      </c>
      <c r="D96" s="8" t="s">
        <v>325</v>
      </c>
      <c r="E96" s="14">
        <v>10422659</v>
      </c>
      <c r="F96" s="14">
        <v>8777125</v>
      </c>
      <c r="G96" s="14">
        <v>1645534</v>
      </c>
      <c r="H96" s="6">
        <v>0.15788044106595064</v>
      </c>
      <c r="I96" s="6">
        <v>0.84211955893404933</v>
      </c>
      <c r="J96" s="3">
        <v>45415</v>
      </c>
      <c r="K96">
        <v>2024</v>
      </c>
    </row>
    <row r="97" spans="1:11" x14ac:dyDescent="0.35">
      <c r="A97" s="8" t="s">
        <v>10</v>
      </c>
      <c r="B97" s="16">
        <v>5</v>
      </c>
      <c r="C97" t="s">
        <v>343</v>
      </c>
      <c r="D97" s="8" t="s">
        <v>325</v>
      </c>
      <c r="E97" s="14">
        <v>6659621</v>
      </c>
      <c r="F97" s="14">
        <v>5718412</v>
      </c>
      <c r="G97" s="14">
        <v>941209</v>
      </c>
      <c r="H97" s="6">
        <v>0.14133071536653513</v>
      </c>
      <c r="I97" s="6">
        <v>0.85866928463346492</v>
      </c>
      <c r="J97" s="3">
        <v>45434</v>
      </c>
      <c r="K97">
        <v>2024</v>
      </c>
    </row>
    <row r="98" spans="1:11" x14ac:dyDescent="0.35">
      <c r="A98" s="8" t="s">
        <v>10</v>
      </c>
      <c r="B98" s="16">
        <v>5</v>
      </c>
      <c r="C98" t="s">
        <v>343</v>
      </c>
      <c r="D98" s="8" t="s">
        <v>325</v>
      </c>
      <c r="E98" s="14">
        <v>10655734</v>
      </c>
      <c r="F98" s="14">
        <v>2408508</v>
      </c>
      <c r="G98" s="14">
        <v>8247226</v>
      </c>
      <c r="H98" s="6">
        <v>0.77397070910366195</v>
      </c>
      <c r="I98" s="6">
        <v>0.22602929089633805</v>
      </c>
      <c r="J98" s="3">
        <v>45427</v>
      </c>
      <c r="K98">
        <v>2024</v>
      </c>
    </row>
    <row r="99" spans="1:11" x14ac:dyDescent="0.35">
      <c r="A99" s="8" t="s">
        <v>10</v>
      </c>
      <c r="B99" s="16">
        <v>5</v>
      </c>
      <c r="C99" t="s">
        <v>343</v>
      </c>
      <c r="D99" s="8" t="s">
        <v>325</v>
      </c>
      <c r="E99" s="14">
        <v>13243123</v>
      </c>
      <c r="F99" s="14">
        <v>5468428</v>
      </c>
      <c r="G99" s="14">
        <v>7774695</v>
      </c>
      <c r="H99" s="6">
        <v>0.5870741365159865</v>
      </c>
      <c r="I99" s="6">
        <v>0.41292586348401356</v>
      </c>
      <c r="J99" s="3">
        <v>45783</v>
      </c>
      <c r="K99">
        <v>2025</v>
      </c>
    </row>
    <row r="100" spans="1:11" x14ac:dyDescent="0.35">
      <c r="A100" s="8" t="s">
        <v>10</v>
      </c>
      <c r="B100" s="16">
        <v>5</v>
      </c>
      <c r="C100" t="s">
        <v>343</v>
      </c>
      <c r="D100" s="8" t="s">
        <v>325</v>
      </c>
      <c r="E100" s="14">
        <v>17772619</v>
      </c>
      <c r="F100" s="14">
        <v>3751148</v>
      </c>
      <c r="G100" s="14">
        <v>14021471</v>
      </c>
      <c r="H100" s="6">
        <v>0.78893667838150361</v>
      </c>
      <c r="I100" s="6">
        <v>0.21106332161849642</v>
      </c>
      <c r="J100" s="3">
        <v>45797</v>
      </c>
      <c r="K100">
        <v>2025</v>
      </c>
    </row>
    <row r="101" spans="1:11" x14ac:dyDescent="0.35">
      <c r="A101" s="8" t="s">
        <v>10</v>
      </c>
      <c r="B101" s="16">
        <v>5</v>
      </c>
      <c r="C101" t="s">
        <v>343</v>
      </c>
      <c r="D101" s="8" t="s">
        <v>11</v>
      </c>
      <c r="E101" s="14">
        <v>7684666</v>
      </c>
      <c r="F101" s="14">
        <v>5053533</v>
      </c>
      <c r="G101" s="14">
        <v>2631133</v>
      </c>
      <c r="H101" s="6">
        <v>0.34238742451526194</v>
      </c>
      <c r="I101" s="6">
        <v>0.65761257548473806</v>
      </c>
      <c r="J101" s="3">
        <v>45792</v>
      </c>
      <c r="K101">
        <v>2025</v>
      </c>
    </row>
    <row r="102" spans="1:11" x14ac:dyDescent="0.35">
      <c r="A102" s="8" t="s">
        <v>47</v>
      </c>
      <c r="B102" s="16">
        <v>6</v>
      </c>
      <c r="C102" t="s">
        <v>343</v>
      </c>
      <c r="D102" s="8" t="s">
        <v>11</v>
      </c>
      <c r="E102" s="14">
        <v>2093322</v>
      </c>
      <c r="F102" s="14">
        <v>846252</v>
      </c>
      <c r="G102" s="14">
        <v>1247070</v>
      </c>
      <c r="H102" s="6">
        <v>0.59573730176246176</v>
      </c>
      <c r="I102" s="6">
        <v>0.40426269823753824</v>
      </c>
      <c r="J102" s="3">
        <v>45811</v>
      </c>
      <c r="K102">
        <v>2025</v>
      </c>
    </row>
    <row r="103" spans="1:11" x14ac:dyDescent="0.35">
      <c r="A103" s="8" t="s">
        <v>47</v>
      </c>
      <c r="B103" s="16">
        <v>6</v>
      </c>
      <c r="C103" t="s">
        <v>343</v>
      </c>
      <c r="D103" s="8" t="s">
        <v>11</v>
      </c>
      <c r="E103" s="14">
        <v>3115955</v>
      </c>
      <c r="F103" s="14">
        <v>2888010</v>
      </c>
      <c r="G103" s="14">
        <v>227945</v>
      </c>
      <c r="H103" s="6">
        <v>7.3154137335102717E-2</v>
      </c>
      <c r="I103" s="6">
        <v>0.92684586266489732</v>
      </c>
      <c r="J103" s="3">
        <v>45446</v>
      </c>
      <c r="K103">
        <v>2024</v>
      </c>
    </row>
    <row r="104" spans="1:11" x14ac:dyDescent="0.35">
      <c r="A104" s="8" t="s">
        <v>47</v>
      </c>
      <c r="B104" s="16">
        <v>6</v>
      </c>
      <c r="C104" t="s">
        <v>343</v>
      </c>
      <c r="D104" s="8" t="s">
        <v>11</v>
      </c>
      <c r="E104" s="14">
        <v>10887632</v>
      </c>
      <c r="F104" s="14">
        <v>3314932</v>
      </c>
      <c r="G104" s="14">
        <v>7572700</v>
      </c>
      <c r="H104" s="6">
        <v>0.69553232511899743</v>
      </c>
      <c r="I104" s="6">
        <v>0.30446767488100257</v>
      </c>
      <c r="J104" s="3">
        <v>45809</v>
      </c>
      <c r="K104">
        <v>2025</v>
      </c>
    </row>
    <row r="105" spans="1:11" x14ac:dyDescent="0.35">
      <c r="A105" s="8" t="s">
        <v>47</v>
      </c>
      <c r="B105" s="16">
        <v>6</v>
      </c>
      <c r="C105" t="s">
        <v>343</v>
      </c>
      <c r="D105" s="8" t="s">
        <v>325</v>
      </c>
      <c r="E105" s="14">
        <v>13395142</v>
      </c>
      <c r="F105" s="14">
        <v>3866714</v>
      </c>
      <c r="G105" s="14">
        <v>9528428</v>
      </c>
      <c r="H105" s="6">
        <v>0.71133460175338192</v>
      </c>
      <c r="I105" s="6">
        <v>0.28866539824661808</v>
      </c>
      <c r="J105" s="3">
        <v>45821</v>
      </c>
      <c r="K105">
        <v>2025</v>
      </c>
    </row>
    <row r="106" spans="1:11" x14ac:dyDescent="0.35">
      <c r="A106" s="8" t="s">
        <v>47</v>
      </c>
      <c r="B106" s="16">
        <v>6</v>
      </c>
      <c r="C106" t="s">
        <v>343</v>
      </c>
      <c r="D106" s="8" t="s">
        <v>325</v>
      </c>
      <c r="E106" s="14">
        <v>13243123</v>
      </c>
      <c r="F106" s="14">
        <v>5468428</v>
      </c>
      <c r="G106" s="14">
        <v>7774695</v>
      </c>
      <c r="H106" s="6">
        <v>0.5870741365159865</v>
      </c>
      <c r="I106" s="6">
        <v>0.41292586348401356</v>
      </c>
      <c r="J106" s="3">
        <v>45835</v>
      </c>
      <c r="K106">
        <v>2025</v>
      </c>
    </row>
    <row r="107" spans="1:11" x14ac:dyDescent="0.35">
      <c r="A107" s="8" t="s">
        <v>47</v>
      </c>
      <c r="B107" s="16">
        <v>6</v>
      </c>
      <c r="C107" t="s">
        <v>343</v>
      </c>
      <c r="D107" s="8" t="s">
        <v>325</v>
      </c>
      <c r="E107" s="14">
        <v>6659621</v>
      </c>
      <c r="F107" s="14">
        <v>5718412</v>
      </c>
      <c r="G107" s="14">
        <v>941209</v>
      </c>
      <c r="H107" s="6">
        <v>0.14133071536653513</v>
      </c>
      <c r="I107" s="6">
        <v>0.85866928463346492</v>
      </c>
      <c r="J107" s="3">
        <v>45446</v>
      </c>
      <c r="K107">
        <v>2024</v>
      </c>
    </row>
    <row r="108" spans="1:11" x14ac:dyDescent="0.35">
      <c r="A108" s="8" t="s">
        <v>47</v>
      </c>
      <c r="B108" s="16">
        <v>6</v>
      </c>
      <c r="C108" t="s">
        <v>343</v>
      </c>
      <c r="D108" s="8" t="s">
        <v>325</v>
      </c>
      <c r="E108" s="14">
        <v>12433378</v>
      </c>
      <c r="F108" s="14">
        <v>3398230</v>
      </c>
      <c r="G108" s="14">
        <v>9035148</v>
      </c>
      <c r="H108" s="6">
        <v>0.72668489609179421</v>
      </c>
      <c r="I108" s="6">
        <v>0.27331510390820579</v>
      </c>
      <c r="J108" s="3">
        <v>45455</v>
      </c>
      <c r="K108">
        <v>2024</v>
      </c>
    </row>
    <row r="109" spans="1:11" x14ac:dyDescent="0.35">
      <c r="A109" s="8" t="s">
        <v>47</v>
      </c>
      <c r="B109" s="16">
        <v>6</v>
      </c>
      <c r="C109" t="s">
        <v>343</v>
      </c>
      <c r="D109" s="8" t="s">
        <v>325</v>
      </c>
      <c r="E109" s="14">
        <v>13395811</v>
      </c>
      <c r="F109" s="14">
        <v>8109917</v>
      </c>
      <c r="G109" s="14">
        <v>5285894</v>
      </c>
      <c r="H109" s="6">
        <v>0.39459305599339972</v>
      </c>
      <c r="I109" s="6">
        <v>0.60540694400660022</v>
      </c>
      <c r="J109" s="3">
        <v>45833</v>
      </c>
      <c r="K109">
        <v>2025</v>
      </c>
    </row>
    <row r="110" spans="1:11" x14ac:dyDescent="0.35">
      <c r="A110" s="8" t="s">
        <v>47</v>
      </c>
      <c r="B110" s="16">
        <v>6</v>
      </c>
      <c r="C110" t="s">
        <v>343</v>
      </c>
      <c r="D110" s="8" t="s">
        <v>325</v>
      </c>
      <c r="E110" s="14">
        <v>12433378</v>
      </c>
      <c r="F110" s="14">
        <v>3398230</v>
      </c>
      <c r="G110" s="14">
        <v>9035148</v>
      </c>
      <c r="H110" s="6">
        <v>0.72668489609179421</v>
      </c>
      <c r="I110" s="6">
        <v>0.27331510390820579</v>
      </c>
      <c r="J110" s="3">
        <v>45457</v>
      </c>
      <c r="K110">
        <v>2024</v>
      </c>
    </row>
    <row r="111" spans="1:11" x14ac:dyDescent="0.35">
      <c r="A111" s="8" t="s">
        <v>47</v>
      </c>
      <c r="B111" s="16">
        <v>6</v>
      </c>
      <c r="C111" t="s">
        <v>343</v>
      </c>
      <c r="D111" s="8" t="s">
        <v>11</v>
      </c>
      <c r="E111" s="14">
        <v>5297234</v>
      </c>
      <c r="F111" s="14">
        <v>3596622</v>
      </c>
      <c r="G111" s="14">
        <v>1700612</v>
      </c>
      <c r="H111" s="6">
        <v>0.32103773403251584</v>
      </c>
      <c r="I111" s="6">
        <v>0.67896226596748421</v>
      </c>
      <c r="J111" s="3">
        <v>45453</v>
      </c>
      <c r="K111">
        <v>2024</v>
      </c>
    </row>
    <row r="112" spans="1:11" x14ac:dyDescent="0.35">
      <c r="A112" s="8" t="s">
        <v>47</v>
      </c>
      <c r="B112" s="16">
        <v>6</v>
      </c>
      <c r="C112" t="s">
        <v>343</v>
      </c>
      <c r="D112" s="8" t="s">
        <v>325</v>
      </c>
      <c r="E112" s="14">
        <v>17772619</v>
      </c>
      <c r="F112" s="14">
        <v>3751148</v>
      </c>
      <c r="G112" s="14">
        <v>14021471</v>
      </c>
      <c r="H112" s="6">
        <v>0.78893667838150361</v>
      </c>
      <c r="I112" s="6">
        <v>0.21106332161849642</v>
      </c>
      <c r="J112" s="3">
        <v>45832</v>
      </c>
      <c r="K112">
        <v>2025</v>
      </c>
    </row>
    <row r="113" spans="1:11" x14ac:dyDescent="0.35">
      <c r="A113" s="8" t="s">
        <v>47</v>
      </c>
      <c r="B113" s="16">
        <v>6</v>
      </c>
      <c r="C113" t="s">
        <v>343</v>
      </c>
      <c r="D113" s="8" t="s">
        <v>325</v>
      </c>
      <c r="E113" s="14">
        <v>10422659</v>
      </c>
      <c r="F113" s="14">
        <v>8777125</v>
      </c>
      <c r="G113" s="14">
        <v>1645534</v>
      </c>
      <c r="H113" s="6">
        <v>0.15788044106595064</v>
      </c>
      <c r="I113" s="6">
        <v>0.84211955893404933</v>
      </c>
      <c r="J113" s="3">
        <v>45837</v>
      </c>
      <c r="K113">
        <v>2025</v>
      </c>
    </row>
    <row r="114" spans="1:11" x14ac:dyDescent="0.35">
      <c r="A114" s="8" t="s">
        <v>47</v>
      </c>
      <c r="B114" s="16">
        <v>6</v>
      </c>
      <c r="C114" t="s">
        <v>343</v>
      </c>
      <c r="D114" s="8" t="s">
        <v>325</v>
      </c>
      <c r="E114" s="14">
        <v>8925622</v>
      </c>
      <c r="F114" s="14">
        <v>7859625</v>
      </c>
      <c r="G114" s="14">
        <v>1065997</v>
      </c>
      <c r="H114" s="6">
        <v>0.11943111639726621</v>
      </c>
      <c r="I114" s="6">
        <v>0.88056888360273378</v>
      </c>
      <c r="J114" s="3">
        <v>45815</v>
      </c>
      <c r="K114">
        <v>2025</v>
      </c>
    </row>
    <row r="115" spans="1:11" x14ac:dyDescent="0.35">
      <c r="A115" s="8" t="s">
        <v>47</v>
      </c>
      <c r="B115" s="16">
        <v>6</v>
      </c>
      <c r="C115" t="s">
        <v>343</v>
      </c>
      <c r="D115" s="8" t="s">
        <v>325</v>
      </c>
      <c r="E115" s="14">
        <v>8925622</v>
      </c>
      <c r="F115" s="14">
        <v>7859625</v>
      </c>
      <c r="G115" s="14">
        <v>1065997</v>
      </c>
      <c r="H115" s="6">
        <v>0.11943111639726621</v>
      </c>
      <c r="I115" s="6">
        <v>0.88056888360273378</v>
      </c>
      <c r="J115" s="3">
        <v>45461</v>
      </c>
      <c r="K115">
        <v>2024</v>
      </c>
    </row>
    <row r="116" spans="1:11" x14ac:dyDescent="0.35">
      <c r="A116" s="8" t="s">
        <v>47</v>
      </c>
      <c r="B116" s="16">
        <v>6</v>
      </c>
      <c r="C116" t="s">
        <v>343</v>
      </c>
      <c r="D116" s="8" t="s">
        <v>11</v>
      </c>
      <c r="E116" s="14">
        <v>9869633</v>
      </c>
      <c r="F116" s="14">
        <v>8708702</v>
      </c>
      <c r="G116" s="14">
        <v>1160931</v>
      </c>
      <c r="H116" s="6">
        <v>0.11762656220347809</v>
      </c>
      <c r="I116" s="6">
        <v>0.88237343779652189</v>
      </c>
      <c r="J116" s="3">
        <v>45467</v>
      </c>
      <c r="K116">
        <v>2024</v>
      </c>
    </row>
    <row r="117" spans="1:11" x14ac:dyDescent="0.35">
      <c r="A117" s="8" t="s">
        <v>47</v>
      </c>
      <c r="B117" s="16">
        <v>6</v>
      </c>
      <c r="C117" t="s">
        <v>343</v>
      </c>
      <c r="D117" s="8" t="s">
        <v>325</v>
      </c>
      <c r="E117" s="14">
        <v>17872796</v>
      </c>
      <c r="F117" s="14">
        <v>4065021</v>
      </c>
      <c r="G117" s="14">
        <v>13807775</v>
      </c>
      <c r="H117" s="6">
        <v>0.77255819402851122</v>
      </c>
      <c r="I117" s="6">
        <v>0.22744180597148875</v>
      </c>
      <c r="J117" s="3">
        <v>45818</v>
      </c>
      <c r="K117">
        <v>2025</v>
      </c>
    </row>
    <row r="118" spans="1:11" x14ac:dyDescent="0.35">
      <c r="A118" s="8" t="s">
        <v>47</v>
      </c>
      <c r="B118" s="16">
        <v>6</v>
      </c>
      <c r="C118" t="s">
        <v>343</v>
      </c>
      <c r="D118" s="8" t="s">
        <v>325</v>
      </c>
      <c r="E118" s="14">
        <v>6659621</v>
      </c>
      <c r="F118" s="14">
        <v>5718412</v>
      </c>
      <c r="G118" s="14">
        <v>941209</v>
      </c>
      <c r="H118" s="6">
        <v>0.14133071536653513</v>
      </c>
      <c r="I118" s="6">
        <v>0.85866928463346492</v>
      </c>
      <c r="J118" s="3">
        <v>45448</v>
      </c>
      <c r="K118">
        <v>2024</v>
      </c>
    </row>
    <row r="119" spans="1:11" x14ac:dyDescent="0.35">
      <c r="A119" s="8" t="s">
        <v>47</v>
      </c>
      <c r="B119" s="16">
        <v>6</v>
      </c>
      <c r="C119" t="s">
        <v>343</v>
      </c>
      <c r="D119" s="8" t="s">
        <v>11</v>
      </c>
      <c r="E119" s="14">
        <v>7713630</v>
      </c>
      <c r="F119" s="14">
        <v>1832250</v>
      </c>
      <c r="G119" s="14">
        <v>5881380</v>
      </c>
      <c r="H119" s="6">
        <v>0.7624659207143718</v>
      </c>
      <c r="I119" s="6">
        <v>0.23753407928562817</v>
      </c>
      <c r="J119" s="3">
        <v>45459</v>
      </c>
      <c r="K119">
        <v>2024</v>
      </c>
    </row>
    <row r="120" spans="1:11" x14ac:dyDescent="0.35">
      <c r="A120" s="8" t="s">
        <v>47</v>
      </c>
      <c r="B120" s="16">
        <v>6</v>
      </c>
      <c r="C120" t="s">
        <v>343</v>
      </c>
      <c r="D120" s="8" t="s">
        <v>11</v>
      </c>
      <c r="E120" s="14">
        <v>10887632</v>
      </c>
      <c r="F120" s="14">
        <v>3314932</v>
      </c>
      <c r="G120" s="14">
        <v>7572700</v>
      </c>
      <c r="H120" s="6">
        <v>0.69553232511899743</v>
      </c>
      <c r="I120" s="6">
        <v>0.30446767488100257</v>
      </c>
      <c r="J120" s="3">
        <v>45455</v>
      </c>
      <c r="K120">
        <v>2024</v>
      </c>
    </row>
    <row r="121" spans="1:11" x14ac:dyDescent="0.35">
      <c r="A121" s="8" t="s">
        <v>47</v>
      </c>
      <c r="B121" s="16">
        <v>6</v>
      </c>
      <c r="C121" t="s">
        <v>343</v>
      </c>
      <c r="D121" s="8" t="s">
        <v>325</v>
      </c>
      <c r="E121" s="14">
        <v>10422659</v>
      </c>
      <c r="F121" s="14">
        <v>8777125</v>
      </c>
      <c r="G121" s="14">
        <v>1645534</v>
      </c>
      <c r="H121" s="6">
        <v>0.15788044106595064</v>
      </c>
      <c r="I121" s="6">
        <v>0.84211955893404933</v>
      </c>
      <c r="J121" s="3">
        <v>45458</v>
      </c>
      <c r="K121">
        <v>2024</v>
      </c>
    </row>
    <row r="122" spans="1:11" x14ac:dyDescent="0.35">
      <c r="A122" s="8" t="s">
        <v>47</v>
      </c>
      <c r="B122" s="16">
        <v>6</v>
      </c>
      <c r="C122" t="s">
        <v>343</v>
      </c>
      <c r="D122" s="8" t="s">
        <v>11</v>
      </c>
      <c r="E122" s="14">
        <v>5297234</v>
      </c>
      <c r="F122" s="14">
        <v>3596622</v>
      </c>
      <c r="G122" s="14">
        <v>1700612</v>
      </c>
      <c r="H122" s="6">
        <v>0.32103773403251584</v>
      </c>
      <c r="I122" s="6">
        <v>0.67896226596748421</v>
      </c>
      <c r="J122" s="3">
        <v>45838</v>
      </c>
      <c r="K122">
        <v>2025</v>
      </c>
    </row>
    <row r="123" spans="1:11" x14ac:dyDescent="0.35">
      <c r="A123" s="8" t="s">
        <v>24</v>
      </c>
      <c r="B123" s="16">
        <v>7</v>
      </c>
      <c r="C123" t="s">
        <v>344</v>
      </c>
      <c r="D123" s="8" t="s">
        <v>11</v>
      </c>
      <c r="E123" s="14">
        <v>7409657</v>
      </c>
      <c r="F123" s="14">
        <v>6271336</v>
      </c>
      <c r="G123" s="14">
        <v>1138321</v>
      </c>
      <c r="H123" s="6">
        <v>0.15362667934561614</v>
      </c>
      <c r="I123" s="6">
        <v>0.84637332065438386</v>
      </c>
      <c r="J123" s="3">
        <v>45488</v>
      </c>
      <c r="K123">
        <v>2024</v>
      </c>
    </row>
    <row r="124" spans="1:11" x14ac:dyDescent="0.35">
      <c r="A124" s="8" t="s">
        <v>24</v>
      </c>
      <c r="B124" s="16">
        <v>7</v>
      </c>
      <c r="C124" t="s">
        <v>344</v>
      </c>
      <c r="D124" s="8" t="s">
        <v>325</v>
      </c>
      <c r="E124" s="14">
        <v>6659621</v>
      </c>
      <c r="F124" s="14">
        <v>5718412</v>
      </c>
      <c r="G124" s="14">
        <v>941209</v>
      </c>
      <c r="H124" s="6">
        <v>0.14133071536653513</v>
      </c>
      <c r="I124" s="6">
        <v>0.85866928463346492</v>
      </c>
      <c r="J124" s="3">
        <v>45844</v>
      </c>
      <c r="K124">
        <v>2025</v>
      </c>
    </row>
    <row r="125" spans="1:11" x14ac:dyDescent="0.35">
      <c r="A125" s="8" t="s">
        <v>24</v>
      </c>
      <c r="B125" s="16">
        <v>7</v>
      </c>
      <c r="C125" t="s">
        <v>344</v>
      </c>
      <c r="D125" s="8" t="s">
        <v>325</v>
      </c>
      <c r="E125" s="14">
        <v>12433378</v>
      </c>
      <c r="F125" s="14">
        <v>3398230</v>
      </c>
      <c r="G125" s="14">
        <v>9035148</v>
      </c>
      <c r="H125" s="6">
        <v>0.72668489609179421</v>
      </c>
      <c r="I125" s="6">
        <v>0.27331510390820579</v>
      </c>
      <c r="J125" s="3">
        <v>45854</v>
      </c>
      <c r="K125">
        <v>2025</v>
      </c>
    </row>
    <row r="126" spans="1:11" x14ac:dyDescent="0.35">
      <c r="A126" s="8" t="s">
        <v>24</v>
      </c>
      <c r="B126" s="16">
        <v>7</v>
      </c>
      <c r="C126" t="s">
        <v>344</v>
      </c>
      <c r="D126" s="8" t="s">
        <v>11</v>
      </c>
      <c r="E126" s="14">
        <v>3115955</v>
      </c>
      <c r="F126" s="14">
        <v>2888010</v>
      </c>
      <c r="G126" s="14">
        <v>227945</v>
      </c>
      <c r="H126" s="6">
        <v>7.3154137335102717E-2</v>
      </c>
      <c r="I126" s="6">
        <v>0.92684586266489732</v>
      </c>
      <c r="J126" s="3">
        <v>45866</v>
      </c>
      <c r="K126">
        <v>2025</v>
      </c>
    </row>
    <row r="127" spans="1:11" x14ac:dyDescent="0.35">
      <c r="A127" s="8" t="s">
        <v>24</v>
      </c>
      <c r="B127" s="16">
        <v>7</v>
      </c>
      <c r="C127" t="s">
        <v>344</v>
      </c>
      <c r="D127" s="8" t="s">
        <v>325</v>
      </c>
      <c r="E127" s="14">
        <v>13395142</v>
      </c>
      <c r="F127" s="14">
        <v>3866714</v>
      </c>
      <c r="G127" s="14">
        <v>9528428</v>
      </c>
      <c r="H127" s="6">
        <v>0.71133460175338192</v>
      </c>
      <c r="I127" s="6">
        <v>0.28866539824661808</v>
      </c>
      <c r="J127" s="3">
        <v>45843</v>
      </c>
      <c r="K127">
        <v>2025</v>
      </c>
    </row>
    <row r="128" spans="1:11" x14ac:dyDescent="0.35">
      <c r="A128" s="8" t="s">
        <v>24</v>
      </c>
      <c r="B128" s="16">
        <v>7</v>
      </c>
      <c r="C128" t="s">
        <v>344</v>
      </c>
      <c r="D128" s="8" t="s">
        <v>325</v>
      </c>
      <c r="E128" s="14">
        <v>9166769</v>
      </c>
      <c r="F128" s="14">
        <v>7049977</v>
      </c>
      <c r="G128" s="14">
        <v>2116792</v>
      </c>
      <c r="H128" s="6">
        <v>0.23092018572738116</v>
      </c>
      <c r="I128" s="6">
        <v>0.76907981427261884</v>
      </c>
      <c r="J128" s="3">
        <v>45495</v>
      </c>
      <c r="K128">
        <v>2024</v>
      </c>
    </row>
    <row r="129" spans="1:11" x14ac:dyDescent="0.35">
      <c r="A129" s="8" t="s">
        <v>24</v>
      </c>
      <c r="B129" s="16">
        <v>7</v>
      </c>
      <c r="C129" t="s">
        <v>344</v>
      </c>
      <c r="D129" s="8" t="s">
        <v>11</v>
      </c>
      <c r="E129" s="14">
        <v>5297234</v>
      </c>
      <c r="F129" s="14">
        <v>3596622</v>
      </c>
      <c r="G129" s="14">
        <v>1700612</v>
      </c>
      <c r="H129" s="6">
        <v>0.32103773403251584</v>
      </c>
      <c r="I129" s="6">
        <v>0.67896226596748421</v>
      </c>
      <c r="J129" s="3">
        <v>45850</v>
      </c>
      <c r="K129">
        <v>2025</v>
      </c>
    </row>
    <row r="130" spans="1:11" x14ac:dyDescent="0.35">
      <c r="A130" s="8" t="s">
        <v>24</v>
      </c>
      <c r="B130" s="16">
        <v>7</v>
      </c>
      <c r="C130" t="s">
        <v>344</v>
      </c>
      <c r="D130" s="8" t="s">
        <v>325</v>
      </c>
      <c r="E130" s="14">
        <v>8925622</v>
      </c>
      <c r="F130" s="14">
        <v>7859625</v>
      </c>
      <c r="G130" s="14">
        <v>1065997</v>
      </c>
      <c r="H130" s="6">
        <v>0.11943111639726621</v>
      </c>
      <c r="I130" s="6">
        <v>0.88056888360273378</v>
      </c>
      <c r="J130" s="3">
        <v>45850</v>
      </c>
      <c r="K130">
        <v>2025</v>
      </c>
    </row>
    <row r="131" spans="1:11" x14ac:dyDescent="0.35">
      <c r="A131" s="8" t="s">
        <v>24</v>
      </c>
      <c r="B131" s="16">
        <v>7</v>
      </c>
      <c r="C131" t="s">
        <v>344</v>
      </c>
      <c r="D131" s="8" t="s">
        <v>325</v>
      </c>
      <c r="E131" s="14">
        <v>6659621</v>
      </c>
      <c r="F131" s="14">
        <v>5718412</v>
      </c>
      <c r="G131" s="14">
        <v>941209</v>
      </c>
      <c r="H131" s="6">
        <v>0.14133071536653513</v>
      </c>
      <c r="I131" s="6">
        <v>0.85866928463346492</v>
      </c>
      <c r="J131" s="3">
        <v>45857</v>
      </c>
      <c r="K131">
        <v>2025</v>
      </c>
    </row>
    <row r="132" spans="1:11" x14ac:dyDescent="0.35">
      <c r="A132" s="8" t="s">
        <v>24</v>
      </c>
      <c r="B132" s="16">
        <v>7</v>
      </c>
      <c r="C132" t="s">
        <v>344</v>
      </c>
      <c r="D132" s="8" t="s">
        <v>325</v>
      </c>
      <c r="E132" s="14">
        <v>10655734</v>
      </c>
      <c r="F132" s="14">
        <v>2408508</v>
      </c>
      <c r="G132" s="14">
        <v>8247226</v>
      </c>
      <c r="H132" s="6">
        <v>0.77397070910366195</v>
      </c>
      <c r="I132" s="6">
        <v>0.22602929089633805</v>
      </c>
      <c r="J132" s="3">
        <v>45474</v>
      </c>
      <c r="K132">
        <v>2024</v>
      </c>
    </row>
    <row r="133" spans="1:11" x14ac:dyDescent="0.35">
      <c r="A133" s="8" t="s">
        <v>24</v>
      </c>
      <c r="B133" s="16">
        <v>7</v>
      </c>
      <c r="C133" t="s">
        <v>344</v>
      </c>
      <c r="D133" s="8" t="s">
        <v>11</v>
      </c>
      <c r="E133" s="14">
        <v>10887632</v>
      </c>
      <c r="F133" s="14">
        <v>3314932</v>
      </c>
      <c r="G133" s="14">
        <v>7572700</v>
      </c>
      <c r="H133" s="6">
        <v>0.69553232511899743</v>
      </c>
      <c r="I133" s="6">
        <v>0.30446767488100257</v>
      </c>
      <c r="J133" s="3">
        <v>45482</v>
      </c>
      <c r="K133">
        <v>2024</v>
      </c>
    </row>
    <row r="134" spans="1:11" x14ac:dyDescent="0.35">
      <c r="A134" s="8" t="s">
        <v>24</v>
      </c>
      <c r="B134" s="16">
        <v>7</v>
      </c>
      <c r="C134" t="s">
        <v>344</v>
      </c>
      <c r="D134" s="8" t="s">
        <v>11</v>
      </c>
      <c r="E134" s="14">
        <v>3115955</v>
      </c>
      <c r="F134" s="14">
        <v>2888010</v>
      </c>
      <c r="G134" s="14">
        <v>227945</v>
      </c>
      <c r="H134" s="6">
        <v>7.3154137335102717E-2</v>
      </c>
      <c r="I134" s="6">
        <v>0.92684586266489732</v>
      </c>
      <c r="J134" s="3">
        <v>45474</v>
      </c>
      <c r="K134">
        <v>2024</v>
      </c>
    </row>
    <row r="135" spans="1:11" x14ac:dyDescent="0.35">
      <c r="A135" s="8" t="s">
        <v>24</v>
      </c>
      <c r="B135" s="16">
        <v>7</v>
      </c>
      <c r="C135" t="s">
        <v>344</v>
      </c>
      <c r="D135" s="8" t="s">
        <v>325</v>
      </c>
      <c r="E135" s="14">
        <v>10422659</v>
      </c>
      <c r="F135" s="14">
        <v>8777125</v>
      </c>
      <c r="G135" s="14">
        <v>1645534</v>
      </c>
      <c r="H135" s="6">
        <v>0.15788044106595064</v>
      </c>
      <c r="I135" s="6">
        <v>0.84211955893404933</v>
      </c>
      <c r="J135" s="3">
        <v>45478</v>
      </c>
      <c r="K135">
        <v>2024</v>
      </c>
    </row>
    <row r="136" spans="1:11" x14ac:dyDescent="0.35">
      <c r="A136" s="8" t="s">
        <v>24</v>
      </c>
      <c r="B136" s="16">
        <v>7</v>
      </c>
      <c r="C136" t="s">
        <v>344</v>
      </c>
      <c r="D136" s="8" t="s">
        <v>325</v>
      </c>
      <c r="E136" s="14">
        <v>17872796</v>
      </c>
      <c r="F136" s="14">
        <v>4065021</v>
      </c>
      <c r="G136" s="14">
        <v>13807775</v>
      </c>
      <c r="H136" s="6">
        <v>0.77255819402851122</v>
      </c>
      <c r="I136" s="6">
        <v>0.22744180597148875</v>
      </c>
      <c r="J136" s="3">
        <v>45866</v>
      </c>
      <c r="K136">
        <v>2025</v>
      </c>
    </row>
    <row r="137" spans="1:11" x14ac:dyDescent="0.35">
      <c r="A137" s="8" t="s">
        <v>24</v>
      </c>
      <c r="B137" s="16">
        <v>7</v>
      </c>
      <c r="C137" t="s">
        <v>344</v>
      </c>
      <c r="D137" s="8" t="s">
        <v>325</v>
      </c>
      <c r="E137" s="14">
        <v>13243123</v>
      </c>
      <c r="F137" s="14">
        <v>5468428</v>
      </c>
      <c r="G137" s="14">
        <v>7774695</v>
      </c>
      <c r="H137" s="6">
        <v>0.5870741365159865</v>
      </c>
      <c r="I137" s="6">
        <v>0.41292586348401356</v>
      </c>
      <c r="J137" s="3">
        <v>45859</v>
      </c>
      <c r="K137">
        <v>2025</v>
      </c>
    </row>
    <row r="138" spans="1:11" x14ac:dyDescent="0.35">
      <c r="A138" s="8" t="s">
        <v>24</v>
      </c>
      <c r="B138" s="16">
        <v>7</v>
      </c>
      <c r="C138" t="s">
        <v>344</v>
      </c>
      <c r="D138" s="8" t="s">
        <v>325</v>
      </c>
      <c r="E138" s="14">
        <v>13395811</v>
      </c>
      <c r="F138" s="14">
        <v>8109917</v>
      </c>
      <c r="G138" s="14">
        <v>5285894</v>
      </c>
      <c r="H138" s="6">
        <v>0.39459305599339972</v>
      </c>
      <c r="I138" s="6">
        <v>0.60540694400660022</v>
      </c>
      <c r="J138" s="3">
        <v>45841</v>
      </c>
      <c r="K138">
        <v>2025</v>
      </c>
    </row>
    <row r="139" spans="1:11" x14ac:dyDescent="0.35">
      <c r="A139" s="8" t="s">
        <v>24</v>
      </c>
      <c r="B139" s="16">
        <v>7</v>
      </c>
      <c r="C139" t="s">
        <v>344</v>
      </c>
      <c r="D139" s="8" t="s">
        <v>11</v>
      </c>
      <c r="E139" s="14">
        <v>10887632</v>
      </c>
      <c r="F139" s="14">
        <v>3314932</v>
      </c>
      <c r="G139" s="14">
        <v>7572700</v>
      </c>
      <c r="H139" s="6">
        <v>0.69553232511899743</v>
      </c>
      <c r="I139" s="6">
        <v>0.30446767488100257</v>
      </c>
      <c r="J139" s="3">
        <v>45497</v>
      </c>
      <c r="K139">
        <v>2024</v>
      </c>
    </row>
    <row r="140" spans="1:11" x14ac:dyDescent="0.35">
      <c r="A140" s="8" t="s">
        <v>24</v>
      </c>
      <c r="B140" s="16">
        <v>7</v>
      </c>
      <c r="C140" t="s">
        <v>344</v>
      </c>
      <c r="D140" s="8" t="s">
        <v>325</v>
      </c>
      <c r="E140" s="14">
        <v>17872796</v>
      </c>
      <c r="F140" s="14">
        <v>4065021</v>
      </c>
      <c r="G140" s="14">
        <v>13807775</v>
      </c>
      <c r="H140" s="6">
        <v>0.77255819402851122</v>
      </c>
      <c r="I140" s="6">
        <v>0.22744180597148875</v>
      </c>
      <c r="J140" s="3">
        <v>45862</v>
      </c>
      <c r="K140">
        <v>2025</v>
      </c>
    </row>
    <row r="141" spans="1:11" x14ac:dyDescent="0.35">
      <c r="A141" s="8" t="s">
        <v>24</v>
      </c>
      <c r="B141" s="16">
        <v>7</v>
      </c>
      <c r="C141" t="s">
        <v>344</v>
      </c>
      <c r="D141" s="8" t="s">
        <v>11</v>
      </c>
      <c r="E141" s="14">
        <v>2093322</v>
      </c>
      <c r="F141" s="14">
        <v>846252</v>
      </c>
      <c r="G141" s="14">
        <v>1247070</v>
      </c>
      <c r="H141" s="6">
        <v>0.59573730176246176</v>
      </c>
      <c r="I141" s="6">
        <v>0.40426269823753824</v>
      </c>
      <c r="J141" s="3">
        <v>45495</v>
      </c>
      <c r="K141">
        <v>2024</v>
      </c>
    </row>
    <row r="142" spans="1:11" x14ac:dyDescent="0.35">
      <c r="A142" s="8" t="s">
        <v>24</v>
      </c>
      <c r="B142" s="16">
        <v>7</v>
      </c>
      <c r="C142" t="s">
        <v>344</v>
      </c>
      <c r="D142" s="8" t="s">
        <v>11</v>
      </c>
      <c r="E142" s="14">
        <v>9869633</v>
      </c>
      <c r="F142" s="14">
        <v>8708702</v>
      </c>
      <c r="G142" s="14">
        <v>1160931</v>
      </c>
      <c r="H142" s="6">
        <v>0.11762656220347809</v>
      </c>
      <c r="I142" s="6">
        <v>0.88237343779652189</v>
      </c>
      <c r="J142" s="3">
        <v>45844</v>
      </c>
      <c r="K142">
        <v>2025</v>
      </c>
    </row>
    <row r="143" spans="1:11" x14ac:dyDescent="0.35">
      <c r="A143" s="8" t="s">
        <v>7</v>
      </c>
      <c r="B143" s="16">
        <v>8</v>
      </c>
      <c r="C143" t="s">
        <v>344</v>
      </c>
      <c r="D143" s="8" t="s">
        <v>11</v>
      </c>
      <c r="E143" s="14">
        <v>7684666</v>
      </c>
      <c r="F143" s="14">
        <v>5053533</v>
      </c>
      <c r="G143" s="14">
        <v>2631133</v>
      </c>
      <c r="H143" s="6">
        <v>0.34238742451526194</v>
      </c>
      <c r="I143" s="6">
        <v>0.65761257548473806</v>
      </c>
      <c r="J143" s="3">
        <v>45512</v>
      </c>
      <c r="K143">
        <v>2024</v>
      </c>
    </row>
    <row r="144" spans="1:11" x14ac:dyDescent="0.35">
      <c r="A144" s="8" t="s">
        <v>7</v>
      </c>
      <c r="B144" s="16">
        <v>8</v>
      </c>
      <c r="C144" t="s">
        <v>344</v>
      </c>
      <c r="D144" s="8" t="s">
        <v>325</v>
      </c>
      <c r="E144" s="14">
        <v>9166769</v>
      </c>
      <c r="F144" s="14">
        <v>7049977</v>
      </c>
      <c r="G144" s="14">
        <v>2116792</v>
      </c>
      <c r="H144" s="6">
        <v>0.23092018572738116</v>
      </c>
      <c r="I144" s="6">
        <v>0.76907981427261884</v>
      </c>
      <c r="J144" s="3">
        <v>45511</v>
      </c>
      <c r="K144">
        <v>2024</v>
      </c>
    </row>
    <row r="145" spans="1:11" x14ac:dyDescent="0.35">
      <c r="A145" s="8" t="s">
        <v>7</v>
      </c>
      <c r="B145" s="16">
        <v>8</v>
      </c>
      <c r="C145" t="s">
        <v>344</v>
      </c>
      <c r="D145" s="8" t="s">
        <v>325</v>
      </c>
      <c r="E145" s="14">
        <v>17772619</v>
      </c>
      <c r="F145" s="14">
        <v>3751148</v>
      </c>
      <c r="G145" s="14">
        <v>14021471</v>
      </c>
      <c r="H145" s="6">
        <v>0.78893667838150361</v>
      </c>
      <c r="I145" s="6">
        <v>0.21106332161849642</v>
      </c>
      <c r="J145" s="3">
        <v>45896</v>
      </c>
      <c r="K145">
        <v>2025</v>
      </c>
    </row>
    <row r="146" spans="1:11" x14ac:dyDescent="0.35">
      <c r="A146" s="8" t="s">
        <v>7</v>
      </c>
      <c r="B146" s="16">
        <v>8</v>
      </c>
      <c r="C146" t="s">
        <v>344</v>
      </c>
      <c r="D146" s="8" t="s">
        <v>325</v>
      </c>
      <c r="E146" s="14">
        <v>13243123</v>
      </c>
      <c r="F146" s="14">
        <v>5468428</v>
      </c>
      <c r="G146" s="14">
        <v>7774695</v>
      </c>
      <c r="H146" s="6">
        <v>0.5870741365159865</v>
      </c>
      <c r="I146" s="6">
        <v>0.41292586348401356</v>
      </c>
      <c r="J146" s="3">
        <v>45507</v>
      </c>
      <c r="K146">
        <v>2024</v>
      </c>
    </row>
    <row r="147" spans="1:11" x14ac:dyDescent="0.35">
      <c r="A147" s="8" t="s">
        <v>7</v>
      </c>
      <c r="B147" s="16">
        <v>8</v>
      </c>
      <c r="C147" t="s">
        <v>344</v>
      </c>
      <c r="D147" s="8" t="s">
        <v>325</v>
      </c>
      <c r="E147" s="14">
        <v>13395811</v>
      </c>
      <c r="F147" s="14">
        <v>8109917</v>
      </c>
      <c r="G147" s="14">
        <v>5285894</v>
      </c>
      <c r="H147" s="6">
        <v>0.39459305599339972</v>
      </c>
      <c r="I147" s="6">
        <v>0.60540694400660022</v>
      </c>
      <c r="J147" s="3">
        <v>45870</v>
      </c>
      <c r="K147">
        <v>2025</v>
      </c>
    </row>
    <row r="148" spans="1:11" x14ac:dyDescent="0.35">
      <c r="A148" s="8" t="s">
        <v>7</v>
      </c>
      <c r="B148" s="16">
        <v>8</v>
      </c>
      <c r="C148" t="s">
        <v>344</v>
      </c>
      <c r="D148" s="8" t="s">
        <v>325</v>
      </c>
      <c r="E148" s="14">
        <v>8925622</v>
      </c>
      <c r="F148" s="14">
        <v>7859625</v>
      </c>
      <c r="G148" s="14">
        <v>1065997</v>
      </c>
      <c r="H148" s="6">
        <v>0.11943111639726621</v>
      </c>
      <c r="I148" s="6">
        <v>0.88056888360273378</v>
      </c>
      <c r="J148" s="3">
        <v>45894</v>
      </c>
      <c r="K148">
        <v>2025</v>
      </c>
    </row>
    <row r="149" spans="1:11" x14ac:dyDescent="0.35">
      <c r="A149" s="8" t="s">
        <v>7</v>
      </c>
      <c r="B149" s="16">
        <v>8</v>
      </c>
      <c r="C149" t="s">
        <v>344</v>
      </c>
      <c r="D149" s="8" t="s">
        <v>325</v>
      </c>
      <c r="E149" s="14">
        <v>12433378</v>
      </c>
      <c r="F149" s="14">
        <v>3398230</v>
      </c>
      <c r="G149" s="14">
        <v>9035148</v>
      </c>
      <c r="H149" s="6">
        <v>0.72668489609179421</v>
      </c>
      <c r="I149" s="6">
        <v>0.27331510390820579</v>
      </c>
      <c r="J149" s="3">
        <v>45516</v>
      </c>
      <c r="K149">
        <v>2024</v>
      </c>
    </row>
    <row r="150" spans="1:11" x14ac:dyDescent="0.35">
      <c r="A150" s="8" t="s">
        <v>7</v>
      </c>
      <c r="B150" s="16">
        <v>8</v>
      </c>
      <c r="C150" t="s">
        <v>344</v>
      </c>
      <c r="D150" s="8" t="s">
        <v>325</v>
      </c>
      <c r="E150" s="14">
        <v>13395142</v>
      </c>
      <c r="F150" s="14">
        <v>3866714</v>
      </c>
      <c r="G150" s="14">
        <v>9528428</v>
      </c>
      <c r="H150" s="6">
        <v>0.71133460175338192</v>
      </c>
      <c r="I150" s="6">
        <v>0.28866539824661808</v>
      </c>
      <c r="J150" s="3">
        <v>45516</v>
      </c>
      <c r="K150">
        <v>2024</v>
      </c>
    </row>
    <row r="151" spans="1:11" x14ac:dyDescent="0.35">
      <c r="A151" s="8" t="s">
        <v>7</v>
      </c>
      <c r="B151" s="16">
        <v>8</v>
      </c>
      <c r="C151" t="s">
        <v>344</v>
      </c>
      <c r="D151" s="8" t="s">
        <v>325</v>
      </c>
      <c r="E151" s="14">
        <v>9166769</v>
      </c>
      <c r="F151" s="14">
        <v>7049977</v>
      </c>
      <c r="G151" s="14">
        <v>2116792</v>
      </c>
      <c r="H151" s="6">
        <v>0.23092018572738116</v>
      </c>
      <c r="I151" s="6">
        <v>0.76907981427261884</v>
      </c>
      <c r="J151" s="3">
        <v>45895</v>
      </c>
      <c r="K151">
        <v>2025</v>
      </c>
    </row>
    <row r="152" spans="1:11" x14ac:dyDescent="0.35">
      <c r="A152" s="8" t="s">
        <v>7</v>
      </c>
      <c r="B152" s="16">
        <v>8</v>
      </c>
      <c r="C152" t="s">
        <v>344</v>
      </c>
      <c r="D152" s="8" t="s">
        <v>11</v>
      </c>
      <c r="E152" s="14">
        <v>6629660</v>
      </c>
      <c r="F152" s="14">
        <v>3523400</v>
      </c>
      <c r="G152" s="14">
        <v>3106260</v>
      </c>
      <c r="H152" s="6">
        <v>0.4685398647894462</v>
      </c>
      <c r="I152" s="6">
        <v>0.5314601352105538</v>
      </c>
      <c r="J152" s="3">
        <v>45526</v>
      </c>
      <c r="K152">
        <v>2024</v>
      </c>
    </row>
    <row r="153" spans="1:11" x14ac:dyDescent="0.35">
      <c r="A153" s="8" t="s">
        <v>7</v>
      </c>
      <c r="B153" s="16">
        <v>8</v>
      </c>
      <c r="C153" t="s">
        <v>344</v>
      </c>
      <c r="D153" s="8" t="s">
        <v>325</v>
      </c>
      <c r="E153" s="14">
        <v>13395142</v>
      </c>
      <c r="F153" s="14">
        <v>3866714</v>
      </c>
      <c r="G153" s="14">
        <v>9528428</v>
      </c>
      <c r="H153" s="6">
        <v>0.71133460175338192</v>
      </c>
      <c r="I153" s="6">
        <v>0.28866539824661808</v>
      </c>
      <c r="J153" s="3">
        <v>45535</v>
      </c>
      <c r="K153">
        <v>2024</v>
      </c>
    </row>
    <row r="154" spans="1:11" x14ac:dyDescent="0.35">
      <c r="A154" s="8" t="s">
        <v>7</v>
      </c>
      <c r="B154" s="16">
        <v>8</v>
      </c>
      <c r="C154" t="s">
        <v>344</v>
      </c>
      <c r="D154" s="8" t="s">
        <v>11</v>
      </c>
      <c r="E154" s="14">
        <v>10887632</v>
      </c>
      <c r="F154" s="14">
        <v>3314932</v>
      </c>
      <c r="G154" s="14">
        <v>7572700</v>
      </c>
      <c r="H154" s="6">
        <v>0.69553232511899743</v>
      </c>
      <c r="I154" s="6">
        <v>0.30446767488100257</v>
      </c>
      <c r="J154" s="3">
        <v>45525</v>
      </c>
      <c r="K154">
        <v>2024</v>
      </c>
    </row>
    <row r="155" spans="1:11" x14ac:dyDescent="0.35">
      <c r="A155" s="8" t="s">
        <v>7</v>
      </c>
      <c r="B155" s="16">
        <v>8</v>
      </c>
      <c r="C155" t="s">
        <v>344</v>
      </c>
      <c r="D155" s="8" t="s">
        <v>325</v>
      </c>
      <c r="E155" s="14">
        <v>13243123</v>
      </c>
      <c r="F155" s="14">
        <v>5468428</v>
      </c>
      <c r="G155" s="14">
        <v>7774695</v>
      </c>
      <c r="H155" s="6">
        <v>0.5870741365159865</v>
      </c>
      <c r="I155" s="6">
        <v>0.41292586348401356</v>
      </c>
      <c r="J155" s="3">
        <v>45872</v>
      </c>
      <c r="K155">
        <v>2025</v>
      </c>
    </row>
    <row r="156" spans="1:11" x14ac:dyDescent="0.35">
      <c r="A156" s="8" t="s">
        <v>7</v>
      </c>
      <c r="B156" s="16">
        <v>8</v>
      </c>
      <c r="C156" t="s">
        <v>344</v>
      </c>
      <c r="D156" s="8" t="s">
        <v>325</v>
      </c>
      <c r="E156" s="14">
        <v>9166769</v>
      </c>
      <c r="F156" s="14">
        <v>7049977</v>
      </c>
      <c r="G156" s="14">
        <v>2116792</v>
      </c>
      <c r="H156" s="6">
        <v>0.23092018572738116</v>
      </c>
      <c r="I156" s="6">
        <v>0.76907981427261884</v>
      </c>
      <c r="J156" s="3">
        <v>45520</v>
      </c>
      <c r="K156">
        <v>2024</v>
      </c>
    </row>
    <row r="157" spans="1:11" x14ac:dyDescent="0.35">
      <c r="A157" s="8" t="s">
        <v>7</v>
      </c>
      <c r="B157" s="16">
        <v>8</v>
      </c>
      <c r="C157" t="s">
        <v>344</v>
      </c>
      <c r="D157" s="8" t="s">
        <v>325</v>
      </c>
      <c r="E157" s="14">
        <v>9166769</v>
      </c>
      <c r="F157" s="14">
        <v>7049977</v>
      </c>
      <c r="G157" s="14">
        <v>2116792</v>
      </c>
      <c r="H157" s="6">
        <v>0.23092018572738116</v>
      </c>
      <c r="I157" s="6">
        <v>0.76907981427261884</v>
      </c>
      <c r="J157" s="3">
        <v>45522</v>
      </c>
      <c r="K157">
        <v>2024</v>
      </c>
    </row>
    <row r="158" spans="1:11" x14ac:dyDescent="0.35">
      <c r="A158" s="8" t="s">
        <v>7</v>
      </c>
      <c r="B158" s="16">
        <v>8</v>
      </c>
      <c r="C158" t="s">
        <v>344</v>
      </c>
      <c r="D158" s="8" t="s">
        <v>325</v>
      </c>
      <c r="E158" s="14">
        <v>17772619</v>
      </c>
      <c r="F158" s="14">
        <v>3751148</v>
      </c>
      <c r="G158" s="14">
        <v>14021471</v>
      </c>
      <c r="H158" s="6">
        <v>0.78893667838150361</v>
      </c>
      <c r="I158" s="6">
        <v>0.21106332161849642</v>
      </c>
      <c r="J158" s="3">
        <v>45527</v>
      </c>
      <c r="K158">
        <v>2024</v>
      </c>
    </row>
    <row r="159" spans="1:11" x14ac:dyDescent="0.35">
      <c r="A159" s="8" t="s">
        <v>7</v>
      </c>
      <c r="B159" s="16">
        <v>8</v>
      </c>
      <c r="C159" t="s">
        <v>344</v>
      </c>
      <c r="D159" s="8" t="s">
        <v>325</v>
      </c>
      <c r="E159" s="14">
        <v>17772619</v>
      </c>
      <c r="F159" s="14">
        <v>3751148</v>
      </c>
      <c r="G159" s="14">
        <v>14021471</v>
      </c>
      <c r="H159" s="6">
        <v>0.78893667838150361</v>
      </c>
      <c r="I159" s="6">
        <v>0.21106332161849642</v>
      </c>
      <c r="J159" s="3">
        <v>45883</v>
      </c>
      <c r="K159">
        <v>2025</v>
      </c>
    </row>
    <row r="160" spans="1:11" x14ac:dyDescent="0.35">
      <c r="A160" s="8" t="s">
        <v>7</v>
      </c>
      <c r="B160" s="16">
        <v>8</v>
      </c>
      <c r="C160" t="s">
        <v>344</v>
      </c>
      <c r="D160" s="8" t="s">
        <v>325</v>
      </c>
      <c r="E160" s="14">
        <v>9166769</v>
      </c>
      <c r="F160" s="14">
        <v>7049977</v>
      </c>
      <c r="G160" s="14">
        <v>2116792</v>
      </c>
      <c r="H160" s="6">
        <v>0.23092018572738116</v>
      </c>
      <c r="I160" s="6">
        <v>0.76907981427261884</v>
      </c>
      <c r="J160" s="3">
        <v>45889</v>
      </c>
      <c r="K160">
        <v>2025</v>
      </c>
    </row>
    <row r="161" spans="1:11" x14ac:dyDescent="0.35">
      <c r="A161" s="8" t="s">
        <v>7</v>
      </c>
      <c r="B161" s="16">
        <v>8</v>
      </c>
      <c r="C161" t="s">
        <v>344</v>
      </c>
      <c r="D161" s="8" t="s">
        <v>325</v>
      </c>
      <c r="E161" s="14">
        <v>10422659</v>
      </c>
      <c r="F161" s="14">
        <v>8777125</v>
      </c>
      <c r="G161" s="14">
        <v>1645534</v>
      </c>
      <c r="H161" s="6">
        <v>0.15788044106595064</v>
      </c>
      <c r="I161" s="6">
        <v>0.84211955893404933</v>
      </c>
      <c r="J161" s="3">
        <v>45517</v>
      </c>
      <c r="K161">
        <v>2024</v>
      </c>
    </row>
    <row r="162" spans="1:11" x14ac:dyDescent="0.35">
      <c r="A162" s="8" t="s">
        <v>7</v>
      </c>
      <c r="B162" s="16">
        <v>8</v>
      </c>
      <c r="C162" t="s">
        <v>344</v>
      </c>
      <c r="D162" s="8" t="s">
        <v>11</v>
      </c>
      <c r="E162" s="14">
        <v>6629660</v>
      </c>
      <c r="F162" s="14">
        <v>3523400</v>
      </c>
      <c r="G162" s="14">
        <v>3106260</v>
      </c>
      <c r="H162" s="6">
        <v>0.4685398647894462</v>
      </c>
      <c r="I162" s="6">
        <v>0.5314601352105538</v>
      </c>
      <c r="J162" s="3">
        <v>45872</v>
      </c>
      <c r="K162">
        <v>2025</v>
      </c>
    </row>
    <row r="163" spans="1:11" x14ac:dyDescent="0.35">
      <c r="A163" s="8" t="s">
        <v>7</v>
      </c>
      <c r="B163" s="16">
        <v>8</v>
      </c>
      <c r="C163" t="s">
        <v>344</v>
      </c>
      <c r="D163" s="8" t="s">
        <v>11</v>
      </c>
      <c r="E163" s="14">
        <v>7409657</v>
      </c>
      <c r="F163" s="14">
        <v>6271336</v>
      </c>
      <c r="G163" s="14">
        <v>1138321</v>
      </c>
      <c r="H163" s="6">
        <v>0.15362667934561614</v>
      </c>
      <c r="I163" s="6">
        <v>0.84637332065438386</v>
      </c>
      <c r="J163" s="3">
        <v>45872</v>
      </c>
      <c r="K163">
        <v>2025</v>
      </c>
    </row>
    <row r="164" spans="1:11" x14ac:dyDescent="0.35">
      <c r="A164" s="8" t="s">
        <v>7</v>
      </c>
      <c r="B164" s="16">
        <v>8</v>
      </c>
      <c r="C164" t="s">
        <v>344</v>
      </c>
      <c r="D164" s="8" t="s">
        <v>11</v>
      </c>
      <c r="E164" s="14">
        <v>6641746</v>
      </c>
      <c r="F164" s="14">
        <v>2466037</v>
      </c>
      <c r="G164" s="14">
        <v>4175709</v>
      </c>
      <c r="H164" s="6">
        <v>0.62870651783431641</v>
      </c>
      <c r="I164" s="6">
        <v>0.37129348216568353</v>
      </c>
      <c r="J164" s="3">
        <v>45530</v>
      </c>
      <c r="K164">
        <v>2024</v>
      </c>
    </row>
    <row r="165" spans="1:11" x14ac:dyDescent="0.35">
      <c r="A165" s="8" t="s">
        <v>7</v>
      </c>
      <c r="B165" s="16">
        <v>8</v>
      </c>
      <c r="C165" t="s">
        <v>344</v>
      </c>
      <c r="D165" s="8" t="s">
        <v>11</v>
      </c>
      <c r="E165" s="14">
        <v>5297234</v>
      </c>
      <c r="F165" s="14">
        <v>3596622</v>
      </c>
      <c r="G165" s="14">
        <v>1700612</v>
      </c>
      <c r="H165" s="6">
        <v>0.32103773403251584</v>
      </c>
      <c r="I165" s="6">
        <v>0.67896226596748421</v>
      </c>
      <c r="J165" s="3">
        <v>45515</v>
      </c>
      <c r="K165">
        <v>2024</v>
      </c>
    </row>
    <row r="166" spans="1:11" x14ac:dyDescent="0.35">
      <c r="A166" s="8" t="s">
        <v>7</v>
      </c>
      <c r="B166" s="16">
        <v>8</v>
      </c>
      <c r="C166" t="s">
        <v>344</v>
      </c>
      <c r="D166" s="8" t="s">
        <v>325</v>
      </c>
      <c r="E166" s="14">
        <v>12433378</v>
      </c>
      <c r="F166" s="14">
        <v>3398230</v>
      </c>
      <c r="G166" s="14">
        <v>9035148</v>
      </c>
      <c r="H166" s="6">
        <v>0.72668489609179421</v>
      </c>
      <c r="I166" s="6">
        <v>0.27331510390820579</v>
      </c>
      <c r="J166" s="3">
        <v>45876</v>
      </c>
      <c r="K166">
        <v>2025</v>
      </c>
    </row>
    <row r="167" spans="1:11" x14ac:dyDescent="0.35">
      <c r="A167" s="8" t="s">
        <v>7</v>
      </c>
      <c r="B167" s="16">
        <v>8</v>
      </c>
      <c r="C167" t="s">
        <v>344</v>
      </c>
      <c r="D167" s="8" t="s">
        <v>11</v>
      </c>
      <c r="E167" s="14">
        <v>10887632</v>
      </c>
      <c r="F167" s="14">
        <v>3314932</v>
      </c>
      <c r="G167" s="14">
        <v>7572700</v>
      </c>
      <c r="H167" s="6">
        <v>0.69553232511899743</v>
      </c>
      <c r="I167" s="6">
        <v>0.30446767488100257</v>
      </c>
      <c r="J167" s="3">
        <v>45879</v>
      </c>
      <c r="K167">
        <v>2025</v>
      </c>
    </row>
    <row r="168" spans="1:11" x14ac:dyDescent="0.35">
      <c r="A168" s="8" t="s">
        <v>7</v>
      </c>
      <c r="B168" s="16">
        <v>8</v>
      </c>
      <c r="C168" t="s">
        <v>344</v>
      </c>
      <c r="D168" s="8" t="s">
        <v>11</v>
      </c>
      <c r="E168" s="14">
        <v>10887632</v>
      </c>
      <c r="F168" s="14">
        <v>3314932</v>
      </c>
      <c r="G168" s="14">
        <v>7572700</v>
      </c>
      <c r="H168" s="6">
        <v>0.69553232511899743</v>
      </c>
      <c r="I168" s="6">
        <v>0.30446767488100257</v>
      </c>
      <c r="J168" s="3">
        <v>45530</v>
      </c>
      <c r="K168">
        <v>2024</v>
      </c>
    </row>
    <row r="169" spans="1:11" x14ac:dyDescent="0.35">
      <c r="A169" s="8" t="s">
        <v>7</v>
      </c>
      <c r="B169" s="16">
        <v>8</v>
      </c>
      <c r="C169" t="s">
        <v>344</v>
      </c>
      <c r="D169" s="8" t="s">
        <v>11</v>
      </c>
      <c r="E169" s="14">
        <v>7409657</v>
      </c>
      <c r="F169" s="14">
        <v>6271336</v>
      </c>
      <c r="G169" s="14">
        <v>1138321</v>
      </c>
      <c r="H169" s="6">
        <v>0.15362667934561614</v>
      </c>
      <c r="I169" s="6">
        <v>0.84637332065438386</v>
      </c>
      <c r="J169" s="3">
        <v>45894</v>
      </c>
      <c r="K169">
        <v>2025</v>
      </c>
    </row>
    <row r="170" spans="1:11" x14ac:dyDescent="0.35">
      <c r="A170" s="8" t="s">
        <v>7</v>
      </c>
      <c r="B170" s="16">
        <v>8</v>
      </c>
      <c r="C170" t="s">
        <v>344</v>
      </c>
      <c r="D170" s="8" t="s">
        <v>325</v>
      </c>
      <c r="E170" s="14">
        <v>10422659</v>
      </c>
      <c r="F170" s="14">
        <v>8777125</v>
      </c>
      <c r="G170" s="14">
        <v>1645534</v>
      </c>
      <c r="H170" s="6">
        <v>0.15788044106595064</v>
      </c>
      <c r="I170" s="6">
        <v>0.84211955893404933</v>
      </c>
      <c r="J170" s="3">
        <v>45890</v>
      </c>
      <c r="K170">
        <v>2025</v>
      </c>
    </row>
    <row r="171" spans="1:11" x14ac:dyDescent="0.35">
      <c r="A171" s="8" t="s">
        <v>7</v>
      </c>
      <c r="B171" s="16">
        <v>8</v>
      </c>
      <c r="C171" t="s">
        <v>344</v>
      </c>
      <c r="D171" s="8" t="s">
        <v>325</v>
      </c>
      <c r="E171" s="14">
        <v>9166769</v>
      </c>
      <c r="F171" s="14">
        <v>7049977</v>
      </c>
      <c r="G171" s="14">
        <v>2116792</v>
      </c>
      <c r="H171" s="6">
        <v>0.23092018572738116</v>
      </c>
      <c r="I171" s="6">
        <v>0.76907981427261884</v>
      </c>
      <c r="J171" s="3">
        <v>45526</v>
      </c>
      <c r="K171">
        <v>2024</v>
      </c>
    </row>
    <row r="172" spans="1:11" x14ac:dyDescent="0.35">
      <c r="A172" s="8" t="s">
        <v>7</v>
      </c>
      <c r="B172" s="16">
        <v>8</v>
      </c>
      <c r="C172" t="s">
        <v>344</v>
      </c>
      <c r="D172" s="8" t="s">
        <v>11</v>
      </c>
      <c r="E172" s="14">
        <v>6629660</v>
      </c>
      <c r="F172" s="14">
        <v>3523400</v>
      </c>
      <c r="G172" s="14">
        <v>3106260</v>
      </c>
      <c r="H172" s="6">
        <v>0.4685398647894462</v>
      </c>
      <c r="I172" s="6">
        <v>0.5314601352105538</v>
      </c>
      <c r="J172" s="3">
        <v>45878</v>
      </c>
      <c r="K172">
        <v>2025</v>
      </c>
    </row>
    <row r="173" spans="1:11" x14ac:dyDescent="0.35">
      <c r="A173" s="8" t="s">
        <v>7</v>
      </c>
      <c r="B173" s="16">
        <v>8</v>
      </c>
      <c r="C173" t="s">
        <v>344</v>
      </c>
      <c r="D173" s="8" t="s">
        <v>11</v>
      </c>
      <c r="E173" s="14">
        <v>9814492</v>
      </c>
      <c r="F173" s="14">
        <v>5074629</v>
      </c>
      <c r="G173" s="14">
        <v>4739863</v>
      </c>
      <c r="H173" s="6">
        <v>0.48294532208085755</v>
      </c>
      <c r="I173" s="6">
        <v>0.51705467791914239</v>
      </c>
      <c r="J173" s="3">
        <v>45510</v>
      </c>
      <c r="K173">
        <v>2024</v>
      </c>
    </row>
    <row r="174" spans="1:11" x14ac:dyDescent="0.35">
      <c r="A174" s="8" t="s">
        <v>7</v>
      </c>
      <c r="B174" s="16">
        <v>8</v>
      </c>
      <c r="C174" t="s">
        <v>344</v>
      </c>
      <c r="D174" s="8" t="s">
        <v>11</v>
      </c>
      <c r="E174" s="14">
        <v>9814492</v>
      </c>
      <c r="F174" s="14">
        <v>5074629</v>
      </c>
      <c r="G174" s="14">
        <v>4739863</v>
      </c>
      <c r="H174" s="6">
        <v>0.48294532208085755</v>
      </c>
      <c r="I174" s="6">
        <v>0.51705467791914239</v>
      </c>
      <c r="J174" s="3">
        <v>45517</v>
      </c>
      <c r="K174">
        <v>2024</v>
      </c>
    </row>
    <row r="175" spans="1:11" x14ac:dyDescent="0.35">
      <c r="A175" s="8" t="s">
        <v>7</v>
      </c>
      <c r="B175" s="16">
        <v>8</v>
      </c>
      <c r="C175" t="s">
        <v>344</v>
      </c>
      <c r="D175" s="8" t="s">
        <v>325</v>
      </c>
      <c r="E175" s="14">
        <v>8925622</v>
      </c>
      <c r="F175" s="14">
        <v>7859625</v>
      </c>
      <c r="G175" s="14">
        <v>1065997</v>
      </c>
      <c r="H175" s="6">
        <v>0.11943111639726621</v>
      </c>
      <c r="I175" s="6">
        <v>0.88056888360273378</v>
      </c>
      <c r="J175" s="3">
        <v>45882</v>
      </c>
      <c r="K175">
        <v>2025</v>
      </c>
    </row>
    <row r="176" spans="1:11" x14ac:dyDescent="0.35">
      <c r="A176" s="8" t="s">
        <v>21</v>
      </c>
      <c r="B176" s="16">
        <v>9</v>
      </c>
      <c r="C176" t="s">
        <v>344</v>
      </c>
      <c r="D176" s="8" t="s">
        <v>11</v>
      </c>
      <c r="E176" s="14">
        <v>9814492</v>
      </c>
      <c r="F176" s="14">
        <v>5074629</v>
      </c>
      <c r="G176" s="14">
        <v>4739863</v>
      </c>
      <c r="H176" s="6">
        <v>0.48294532208085755</v>
      </c>
      <c r="I176" s="6">
        <v>0.51705467791914239</v>
      </c>
      <c r="J176" s="3">
        <v>45915</v>
      </c>
      <c r="K176">
        <v>2025</v>
      </c>
    </row>
    <row r="177" spans="1:11" x14ac:dyDescent="0.35">
      <c r="A177" s="8" t="s">
        <v>21</v>
      </c>
      <c r="B177" s="16">
        <v>9</v>
      </c>
      <c r="C177" t="s">
        <v>344</v>
      </c>
      <c r="D177" s="8" t="s">
        <v>11</v>
      </c>
      <c r="E177" s="14">
        <v>9814492</v>
      </c>
      <c r="F177" s="14">
        <v>5074629</v>
      </c>
      <c r="G177" s="14">
        <v>4739863</v>
      </c>
      <c r="H177" s="6">
        <v>0.48294532208085755</v>
      </c>
      <c r="I177" s="6">
        <v>0.51705467791914239</v>
      </c>
      <c r="J177" s="3">
        <v>45903</v>
      </c>
      <c r="K177">
        <v>2025</v>
      </c>
    </row>
    <row r="178" spans="1:11" x14ac:dyDescent="0.35">
      <c r="A178" s="8" t="s">
        <v>21</v>
      </c>
      <c r="B178" s="16">
        <v>9</v>
      </c>
      <c r="C178" t="s">
        <v>344</v>
      </c>
      <c r="D178" s="8" t="s">
        <v>11</v>
      </c>
      <c r="E178" s="14">
        <v>10932582</v>
      </c>
      <c r="F178" s="14">
        <v>9516586</v>
      </c>
      <c r="G178" s="14">
        <v>1415996</v>
      </c>
      <c r="H178" s="6">
        <v>0.12952072986966848</v>
      </c>
      <c r="I178" s="6">
        <v>0.87047927013033155</v>
      </c>
      <c r="J178" s="3">
        <v>45562</v>
      </c>
      <c r="K178">
        <v>2024</v>
      </c>
    </row>
    <row r="179" spans="1:11" x14ac:dyDescent="0.35">
      <c r="A179" s="8" t="s">
        <v>21</v>
      </c>
      <c r="B179" s="16">
        <v>9</v>
      </c>
      <c r="C179" t="s">
        <v>344</v>
      </c>
      <c r="D179" s="8" t="s">
        <v>11</v>
      </c>
      <c r="E179" s="14">
        <v>6629660</v>
      </c>
      <c r="F179" s="14">
        <v>3523400</v>
      </c>
      <c r="G179" s="14">
        <v>3106260</v>
      </c>
      <c r="H179" s="6">
        <v>0.4685398647894462</v>
      </c>
      <c r="I179" s="6">
        <v>0.5314601352105538</v>
      </c>
      <c r="J179" s="3">
        <v>45561</v>
      </c>
      <c r="K179">
        <v>2024</v>
      </c>
    </row>
    <row r="180" spans="1:11" x14ac:dyDescent="0.35">
      <c r="A180" s="8" t="s">
        <v>21</v>
      </c>
      <c r="B180" s="16">
        <v>9</v>
      </c>
      <c r="C180" t="s">
        <v>344</v>
      </c>
      <c r="D180" s="8" t="s">
        <v>11</v>
      </c>
      <c r="E180" s="14">
        <v>3115955</v>
      </c>
      <c r="F180" s="14">
        <v>2888010</v>
      </c>
      <c r="G180" s="14">
        <v>227945</v>
      </c>
      <c r="H180" s="6">
        <v>7.3154137335102717E-2</v>
      </c>
      <c r="I180" s="6">
        <v>0.92684586266489732</v>
      </c>
      <c r="J180" s="3">
        <v>45538</v>
      </c>
      <c r="K180">
        <v>2024</v>
      </c>
    </row>
    <row r="181" spans="1:11" x14ac:dyDescent="0.35">
      <c r="A181" s="8" t="s">
        <v>21</v>
      </c>
      <c r="B181" s="16">
        <v>9</v>
      </c>
      <c r="C181" t="s">
        <v>344</v>
      </c>
      <c r="D181" s="8" t="s">
        <v>11</v>
      </c>
      <c r="E181" s="14">
        <v>10932582</v>
      </c>
      <c r="F181" s="14">
        <v>9516586</v>
      </c>
      <c r="G181" s="14">
        <v>1415996</v>
      </c>
      <c r="H181" s="6">
        <v>0.12952072986966848</v>
      </c>
      <c r="I181" s="6">
        <v>0.87047927013033155</v>
      </c>
      <c r="J181" s="3">
        <v>45544</v>
      </c>
      <c r="K181">
        <v>2024</v>
      </c>
    </row>
    <row r="182" spans="1:11" x14ac:dyDescent="0.35">
      <c r="A182" s="8" t="s">
        <v>21</v>
      </c>
      <c r="B182" s="16">
        <v>9</v>
      </c>
      <c r="C182" t="s">
        <v>344</v>
      </c>
      <c r="D182" s="8" t="s">
        <v>11</v>
      </c>
      <c r="E182" s="14">
        <v>10887632</v>
      </c>
      <c r="F182" s="14">
        <v>3314932</v>
      </c>
      <c r="G182" s="14">
        <v>7572700</v>
      </c>
      <c r="H182" s="6">
        <v>0.69553232511899743</v>
      </c>
      <c r="I182" s="6">
        <v>0.30446767488100257</v>
      </c>
      <c r="J182" s="3">
        <v>45902</v>
      </c>
      <c r="K182">
        <v>2025</v>
      </c>
    </row>
    <row r="183" spans="1:11" x14ac:dyDescent="0.35">
      <c r="A183" s="8" t="s">
        <v>21</v>
      </c>
      <c r="B183" s="16">
        <v>9</v>
      </c>
      <c r="C183" t="s">
        <v>344</v>
      </c>
      <c r="D183" s="8" t="s">
        <v>325</v>
      </c>
      <c r="E183" s="14">
        <v>13243123</v>
      </c>
      <c r="F183" s="14">
        <v>5468428</v>
      </c>
      <c r="G183" s="14">
        <v>7774695</v>
      </c>
      <c r="H183" s="6">
        <v>0.5870741365159865</v>
      </c>
      <c r="I183" s="6">
        <v>0.41292586348401356</v>
      </c>
      <c r="J183" s="3">
        <v>45565</v>
      </c>
      <c r="K183">
        <v>2024</v>
      </c>
    </row>
    <row r="184" spans="1:11" x14ac:dyDescent="0.35">
      <c r="A184" s="8" t="s">
        <v>21</v>
      </c>
      <c r="B184" s="16">
        <v>9</v>
      </c>
      <c r="C184" t="s">
        <v>344</v>
      </c>
      <c r="D184" s="8" t="s">
        <v>11</v>
      </c>
      <c r="E184" s="14">
        <v>2093322</v>
      </c>
      <c r="F184" s="14">
        <v>846252</v>
      </c>
      <c r="G184" s="14">
        <v>1247070</v>
      </c>
      <c r="H184" s="6">
        <v>0.59573730176246176</v>
      </c>
      <c r="I184" s="6">
        <v>0.40426269823753824</v>
      </c>
      <c r="J184" s="3">
        <v>45910</v>
      </c>
      <c r="K184">
        <v>2025</v>
      </c>
    </row>
    <row r="185" spans="1:11" x14ac:dyDescent="0.35">
      <c r="A185" s="8" t="s">
        <v>21</v>
      </c>
      <c r="B185" s="16">
        <v>9</v>
      </c>
      <c r="C185" t="s">
        <v>344</v>
      </c>
      <c r="D185" s="8" t="s">
        <v>11</v>
      </c>
      <c r="E185" s="14">
        <v>7409657</v>
      </c>
      <c r="F185" s="14">
        <v>6271336</v>
      </c>
      <c r="G185" s="14">
        <v>1138321</v>
      </c>
      <c r="H185" s="6">
        <v>0.15362667934561614</v>
      </c>
      <c r="I185" s="6">
        <v>0.84637332065438386</v>
      </c>
      <c r="J185" s="3">
        <v>45913</v>
      </c>
      <c r="K185">
        <v>2025</v>
      </c>
    </row>
    <row r="186" spans="1:11" x14ac:dyDescent="0.35">
      <c r="A186" s="8" t="s">
        <v>21</v>
      </c>
      <c r="B186" s="16">
        <v>9</v>
      </c>
      <c r="C186" t="s">
        <v>344</v>
      </c>
      <c r="D186" s="8" t="s">
        <v>325</v>
      </c>
      <c r="E186" s="14">
        <v>17872796</v>
      </c>
      <c r="F186" s="14">
        <v>4065021</v>
      </c>
      <c r="G186" s="14">
        <v>13807775</v>
      </c>
      <c r="H186" s="6">
        <v>0.77255819402851122</v>
      </c>
      <c r="I186" s="6">
        <v>0.22744180597148875</v>
      </c>
      <c r="J186" s="3">
        <v>45904</v>
      </c>
      <c r="K186">
        <v>2025</v>
      </c>
    </row>
    <row r="187" spans="1:11" x14ac:dyDescent="0.35">
      <c r="A187" s="8" t="s">
        <v>21</v>
      </c>
      <c r="B187" s="16">
        <v>9</v>
      </c>
      <c r="C187" t="s">
        <v>344</v>
      </c>
      <c r="D187" s="8" t="s">
        <v>11</v>
      </c>
      <c r="E187" s="14">
        <v>7409657</v>
      </c>
      <c r="F187" s="14">
        <v>6271336</v>
      </c>
      <c r="G187" s="14">
        <v>1138321</v>
      </c>
      <c r="H187" s="6">
        <v>0.15362667934561614</v>
      </c>
      <c r="I187" s="6">
        <v>0.84637332065438386</v>
      </c>
      <c r="J187" s="3">
        <v>45905</v>
      </c>
      <c r="K187">
        <v>2025</v>
      </c>
    </row>
    <row r="188" spans="1:11" x14ac:dyDescent="0.35">
      <c r="A188" s="8" t="s">
        <v>21</v>
      </c>
      <c r="B188" s="16">
        <v>9</v>
      </c>
      <c r="C188" t="s">
        <v>344</v>
      </c>
      <c r="D188" s="8" t="s">
        <v>325</v>
      </c>
      <c r="E188" s="14">
        <v>13243123</v>
      </c>
      <c r="F188" s="14">
        <v>5468428</v>
      </c>
      <c r="G188" s="14">
        <v>7774695</v>
      </c>
      <c r="H188" s="6">
        <v>0.5870741365159865</v>
      </c>
      <c r="I188" s="6">
        <v>0.41292586348401356</v>
      </c>
      <c r="J188" s="3">
        <v>45563</v>
      </c>
      <c r="K188">
        <v>2024</v>
      </c>
    </row>
    <row r="189" spans="1:11" x14ac:dyDescent="0.35">
      <c r="A189" s="8" t="s">
        <v>21</v>
      </c>
      <c r="B189" s="16">
        <v>9</v>
      </c>
      <c r="C189" t="s">
        <v>344</v>
      </c>
      <c r="D189" s="8" t="s">
        <v>325</v>
      </c>
      <c r="E189" s="14">
        <v>13395811</v>
      </c>
      <c r="F189" s="14">
        <v>8109917</v>
      </c>
      <c r="G189" s="14">
        <v>5285894</v>
      </c>
      <c r="H189" s="6">
        <v>0.39459305599339972</v>
      </c>
      <c r="I189" s="6">
        <v>0.60540694400660022</v>
      </c>
      <c r="J189" s="3">
        <v>45561</v>
      </c>
      <c r="K189">
        <v>2024</v>
      </c>
    </row>
    <row r="190" spans="1:11" x14ac:dyDescent="0.35">
      <c r="A190" s="8" t="s">
        <v>21</v>
      </c>
      <c r="B190" s="16">
        <v>9</v>
      </c>
      <c r="C190" t="s">
        <v>344</v>
      </c>
      <c r="D190" s="8" t="s">
        <v>325</v>
      </c>
      <c r="E190" s="14">
        <v>8925622</v>
      </c>
      <c r="F190" s="14">
        <v>7859625</v>
      </c>
      <c r="G190" s="14">
        <v>1065997</v>
      </c>
      <c r="H190" s="6">
        <v>0.11943111639726621</v>
      </c>
      <c r="I190" s="6">
        <v>0.88056888360273378</v>
      </c>
      <c r="J190" s="3">
        <v>45925</v>
      </c>
      <c r="K190">
        <v>2025</v>
      </c>
    </row>
    <row r="191" spans="1:11" x14ac:dyDescent="0.35">
      <c r="A191" s="8" t="s">
        <v>21</v>
      </c>
      <c r="B191" s="16">
        <v>9</v>
      </c>
      <c r="C191" t="s">
        <v>344</v>
      </c>
      <c r="D191" s="8" t="s">
        <v>325</v>
      </c>
      <c r="E191" s="14">
        <v>10422659</v>
      </c>
      <c r="F191" s="14">
        <v>8777125</v>
      </c>
      <c r="G191" s="14">
        <v>1645534</v>
      </c>
      <c r="H191" s="6">
        <v>0.15788044106595064</v>
      </c>
      <c r="I191" s="6">
        <v>0.84211955893404933</v>
      </c>
      <c r="J191" s="3">
        <v>45549</v>
      </c>
      <c r="K191">
        <v>2024</v>
      </c>
    </row>
    <row r="192" spans="1:11" x14ac:dyDescent="0.35">
      <c r="A192" s="8" t="s">
        <v>21</v>
      </c>
      <c r="B192" s="16">
        <v>9</v>
      </c>
      <c r="C192" t="s">
        <v>344</v>
      </c>
      <c r="D192" s="8" t="s">
        <v>325</v>
      </c>
      <c r="E192" s="14">
        <v>12433378</v>
      </c>
      <c r="F192" s="14">
        <v>3398230</v>
      </c>
      <c r="G192" s="14">
        <v>9035148</v>
      </c>
      <c r="H192" s="6">
        <v>0.72668489609179421</v>
      </c>
      <c r="I192" s="6">
        <v>0.27331510390820579</v>
      </c>
      <c r="J192" s="3">
        <v>45565</v>
      </c>
      <c r="K192">
        <v>2024</v>
      </c>
    </row>
    <row r="193" spans="1:11" x14ac:dyDescent="0.35">
      <c r="A193" s="8" t="s">
        <v>21</v>
      </c>
      <c r="B193" s="16">
        <v>9</v>
      </c>
      <c r="C193" t="s">
        <v>344</v>
      </c>
      <c r="D193" s="8" t="s">
        <v>11</v>
      </c>
      <c r="E193" s="14">
        <v>3115955</v>
      </c>
      <c r="F193" s="14">
        <v>2888010</v>
      </c>
      <c r="G193" s="14">
        <v>227945</v>
      </c>
      <c r="H193" s="6">
        <v>7.3154137335102717E-2</v>
      </c>
      <c r="I193" s="6">
        <v>0.92684586266489732</v>
      </c>
      <c r="J193" s="3">
        <v>45563</v>
      </c>
      <c r="K193">
        <v>2024</v>
      </c>
    </row>
    <row r="194" spans="1:11" x14ac:dyDescent="0.35">
      <c r="A194" s="8" t="s">
        <v>21</v>
      </c>
      <c r="B194" s="16">
        <v>9</v>
      </c>
      <c r="C194" t="s">
        <v>344</v>
      </c>
      <c r="D194" s="8" t="s">
        <v>325</v>
      </c>
      <c r="E194" s="14">
        <v>17872796</v>
      </c>
      <c r="F194" s="14">
        <v>4065021</v>
      </c>
      <c r="G194" s="14">
        <v>13807775</v>
      </c>
      <c r="H194" s="6">
        <v>0.77255819402851122</v>
      </c>
      <c r="I194" s="6">
        <v>0.22744180597148875</v>
      </c>
      <c r="J194" s="3">
        <v>45902</v>
      </c>
      <c r="K194">
        <v>2025</v>
      </c>
    </row>
    <row r="195" spans="1:11" x14ac:dyDescent="0.35">
      <c r="A195" s="8" t="s">
        <v>21</v>
      </c>
      <c r="B195" s="16">
        <v>9</v>
      </c>
      <c r="C195" t="s">
        <v>344</v>
      </c>
      <c r="D195" s="8" t="s">
        <v>325</v>
      </c>
      <c r="E195" s="14">
        <v>9406634</v>
      </c>
      <c r="F195" s="14">
        <v>1310092</v>
      </c>
      <c r="G195" s="14">
        <v>8096542</v>
      </c>
      <c r="H195" s="6">
        <v>0.8607268019570018</v>
      </c>
      <c r="I195" s="6">
        <v>0.13927319804299818</v>
      </c>
      <c r="J195" s="3">
        <v>45545</v>
      </c>
      <c r="K195">
        <v>2024</v>
      </c>
    </row>
    <row r="196" spans="1:11" x14ac:dyDescent="0.35">
      <c r="A196" s="8" t="s">
        <v>21</v>
      </c>
      <c r="B196" s="16">
        <v>9</v>
      </c>
      <c r="C196" t="s">
        <v>344</v>
      </c>
      <c r="D196" s="8" t="s">
        <v>325</v>
      </c>
      <c r="E196" s="14">
        <v>9406634</v>
      </c>
      <c r="F196" s="14">
        <v>1310092</v>
      </c>
      <c r="G196" s="14">
        <v>8096542</v>
      </c>
      <c r="H196" s="6">
        <v>0.8607268019570018</v>
      </c>
      <c r="I196" s="6">
        <v>0.13927319804299818</v>
      </c>
      <c r="J196" s="3">
        <v>45915</v>
      </c>
      <c r="K196">
        <v>2025</v>
      </c>
    </row>
    <row r="197" spans="1:11" x14ac:dyDescent="0.35">
      <c r="A197" s="8" t="s">
        <v>38</v>
      </c>
      <c r="B197" s="16">
        <v>10</v>
      </c>
      <c r="C197" t="s">
        <v>345</v>
      </c>
      <c r="D197" s="8" t="s">
        <v>325</v>
      </c>
      <c r="E197" s="14">
        <v>10655734</v>
      </c>
      <c r="F197" s="14">
        <v>2408508</v>
      </c>
      <c r="G197" s="14">
        <v>8247226</v>
      </c>
      <c r="H197" s="6">
        <v>0.77397070910366195</v>
      </c>
      <c r="I197" s="6">
        <v>0.22602929089633805</v>
      </c>
      <c r="J197" s="3">
        <v>45592</v>
      </c>
      <c r="K197">
        <v>2024</v>
      </c>
    </row>
    <row r="198" spans="1:11" x14ac:dyDescent="0.35">
      <c r="A198" s="8" t="s">
        <v>38</v>
      </c>
      <c r="B198" s="16">
        <v>10</v>
      </c>
      <c r="C198" t="s">
        <v>345</v>
      </c>
      <c r="D198" s="8" t="s">
        <v>11</v>
      </c>
      <c r="E198" s="14">
        <v>5297234</v>
      </c>
      <c r="F198" s="14">
        <v>3596622</v>
      </c>
      <c r="G198" s="14">
        <v>1700612</v>
      </c>
      <c r="H198" s="6">
        <v>0.32103773403251584</v>
      </c>
      <c r="I198" s="6">
        <v>0.67896226596748421</v>
      </c>
      <c r="J198" s="3">
        <v>45934</v>
      </c>
      <c r="K198">
        <v>2025</v>
      </c>
    </row>
    <row r="199" spans="1:11" x14ac:dyDescent="0.35">
      <c r="A199" s="8" t="s">
        <v>38</v>
      </c>
      <c r="B199" s="16">
        <v>10</v>
      </c>
      <c r="C199" t="s">
        <v>345</v>
      </c>
      <c r="D199" s="8" t="s">
        <v>325</v>
      </c>
      <c r="E199" s="14">
        <v>17772619</v>
      </c>
      <c r="F199" s="14">
        <v>3751148</v>
      </c>
      <c r="G199" s="14">
        <v>14021471</v>
      </c>
      <c r="H199" s="6">
        <v>0.78893667838150361</v>
      </c>
      <c r="I199" s="6">
        <v>0.21106332161849642</v>
      </c>
      <c r="J199" s="3">
        <v>45948</v>
      </c>
      <c r="K199">
        <v>2025</v>
      </c>
    </row>
    <row r="200" spans="1:11" x14ac:dyDescent="0.35">
      <c r="A200" s="8" t="s">
        <v>38</v>
      </c>
      <c r="B200" s="16">
        <v>10</v>
      </c>
      <c r="C200" t="s">
        <v>345</v>
      </c>
      <c r="D200" s="8" t="s">
        <v>11</v>
      </c>
      <c r="E200" s="14">
        <v>7713630</v>
      </c>
      <c r="F200" s="14">
        <v>1832250</v>
      </c>
      <c r="G200" s="14">
        <v>5881380</v>
      </c>
      <c r="H200" s="6">
        <v>0.7624659207143718</v>
      </c>
      <c r="I200" s="6">
        <v>0.23753407928562817</v>
      </c>
      <c r="J200" s="3">
        <v>45576</v>
      </c>
      <c r="K200">
        <v>2024</v>
      </c>
    </row>
    <row r="201" spans="1:11" x14ac:dyDescent="0.35">
      <c r="A201" s="8" t="s">
        <v>38</v>
      </c>
      <c r="B201" s="16">
        <v>10</v>
      </c>
      <c r="C201" t="s">
        <v>345</v>
      </c>
      <c r="D201" s="8" t="s">
        <v>325</v>
      </c>
      <c r="E201" s="14">
        <v>13395811</v>
      </c>
      <c r="F201" s="14">
        <v>8109917</v>
      </c>
      <c r="G201" s="14">
        <v>5285894</v>
      </c>
      <c r="H201" s="6">
        <v>0.39459305599339972</v>
      </c>
      <c r="I201" s="6">
        <v>0.60540694400660022</v>
      </c>
      <c r="J201" s="3">
        <v>45946</v>
      </c>
      <c r="K201">
        <v>2025</v>
      </c>
    </row>
    <row r="202" spans="1:11" x14ac:dyDescent="0.35">
      <c r="A202" s="8" t="s">
        <v>38</v>
      </c>
      <c r="B202" s="16">
        <v>10</v>
      </c>
      <c r="C202" t="s">
        <v>345</v>
      </c>
      <c r="D202" s="8" t="s">
        <v>11</v>
      </c>
      <c r="E202" s="14">
        <v>10932582</v>
      </c>
      <c r="F202" s="14">
        <v>9516586</v>
      </c>
      <c r="G202" s="14">
        <v>1415996</v>
      </c>
      <c r="H202" s="6">
        <v>0.12952072986966848</v>
      </c>
      <c r="I202" s="6">
        <v>0.87047927013033155</v>
      </c>
      <c r="J202" s="3">
        <v>45957</v>
      </c>
      <c r="K202">
        <v>2025</v>
      </c>
    </row>
    <row r="203" spans="1:11" x14ac:dyDescent="0.35">
      <c r="A203" s="8" t="s">
        <v>38</v>
      </c>
      <c r="B203" s="16">
        <v>10</v>
      </c>
      <c r="C203" t="s">
        <v>345</v>
      </c>
      <c r="D203" s="8" t="s">
        <v>325</v>
      </c>
      <c r="E203" s="14">
        <v>17872796</v>
      </c>
      <c r="F203" s="14">
        <v>4065021</v>
      </c>
      <c r="G203" s="14">
        <v>13807775</v>
      </c>
      <c r="H203" s="6">
        <v>0.77255819402851122</v>
      </c>
      <c r="I203" s="6">
        <v>0.22744180597148875</v>
      </c>
      <c r="J203" s="3">
        <v>45946</v>
      </c>
      <c r="K203">
        <v>2025</v>
      </c>
    </row>
    <row r="204" spans="1:11" x14ac:dyDescent="0.35">
      <c r="A204" s="8" t="s">
        <v>38</v>
      </c>
      <c r="B204" s="16">
        <v>10</v>
      </c>
      <c r="C204" t="s">
        <v>345</v>
      </c>
      <c r="D204" s="8" t="s">
        <v>325</v>
      </c>
      <c r="E204" s="14">
        <v>8925622</v>
      </c>
      <c r="F204" s="14">
        <v>7859625</v>
      </c>
      <c r="G204" s="14">
        <v>1065997</v>
      </c>
      <c r="H204" s="6">
        <v>0.11943111639726621</v>
      </c>
      <c r="I204" s="6">
        <v>0.88056888360273378</v>
      </c>
      <c r="J204" s="3">
        <v>45566</v>
      </c>
      <c r="K204">
        <v>2024</v>
      </c>
    </row>
    <row r="205" spans="1:11" x14ac:dyDescent="0.35">
      <c r="A205" s="8" t="s">
        <v>38</v>
      </c>
      <c r="B205" s="16">
        <v>10</v>
      </c>
      <c r="C205" t="s">
        <v>345</v>
      </c>
      <c r="D205" s="8" t="s">
        <v>11</v>
      </c>
      <c r="E205" s="14">
        <v>2093322</v>
      </c>
      <c r="F205" s="14">
        <v>846252</v>
      </c>
      <c r="G205" s="14">
        <v>1247070</v>
      </c>
      <c r="H205" s="6">
        <v>0.59573730176246176</v>
      </c>
      <c r="I205" s="6">
        <v>0.40426269823753824</v>
      </c>
      <c r="J205" s="3">
        <v>45957</v>
      </c>
      <c r="K205">
        <v>2025</v>
      </c>
    </row>
    <row r="206" spans="1:11" x14ac:dyDescent="0.35">
      <c r="A206" s="8" t="s">
        <v>38</v>
      </c>
      <c r="B206" s="16">
        <v>10</v>
      </c>
      <c r="C206" t="s">
        <v>345</v>
      </c>
      <c r="D206" s="8" t="s">
        <v>11</v>
      </c>
      <c r="E206" s="14">
        <v>7684666</v>
      </c>
      <c r="F206" s="14">
        <v>5053533</v>
      </c>
      <c r="G206" s="14">
        <v>2631133</v>
      </c>
      <c r="H206" s="6">
        <v>0.34238742451526194</v>
      </c>
      <c r="I206" s="6">
        <v>0.65761257548473806</v>
      </c>
      <c r="J206" s="3">
        <v>45592</v>
      </c>
      <c r="K206">
        <v>2024</v>
      </c>
    </row>
    <row r="207" spans="1:11" x14ac:dyDescent="0.35">
      <c r="A207" s="8" t="s">
        <v>38</v>
      </c>
      <c r="B207" s="16">
        <v>10</v>
      </c>
      <c r="C207" t="s">
        <v>345</v>
      </c>
      <c r="D207" s="8" t="s">
        <v>11</v>
      </c>
      <c r="E207" s="14">
        <v>7409657</v>
      </c>
      <c r="F207" s="14">
        <v>6271336</v>
      </c>
      <c r="G207" s="14">
        <v>1138321</v>
      </c>
      <c r="H207" s="6">
        <v>0.15362667934561614</v>
      </c>
      <c r="I207" s="6">
        <v>0.84637332065438386</v>
      </c>
      <c r="J207" s="3">
        <v>45576</v>
      </c>
      <c r="K207">
        <v>2024</v>
      </c>
    </row>
    <row r="208" spans="1:11" x14ac:dyDescent="0.35">
      <c r="A208" s="8" t="s">
        <v>38</v>
      </c>
      <c r="B208" s="16">
        <v>10</v>
      </c>
      <c r="C208" t="s">
        <v>345</v>
      </c>
      <c r="D208" s="8" t="s">
        <v>325</v>
      </c>
      <c r="E208" s="14">
        <v>13395142</v>
      </c>
      <c r="F208" s="14">
        <v>3866714</v>
      </c>
      <c r="G208" s="14">
        <v>9528428</v>
      </c>
      <c r="H208" s="6">
        <v>0.71133460175338192</v>
      </c>
      <c r="I208" s="6">
        <v>0.28866539824661808</v>
      </c>
      <c r="J208" s="3">
        <v>45942</v>
      </c>
      <c r="K208">
        <v>2025</v>
      </c>
    </row>
    <row r="209" spans="1:11" x14ac:dyDescent="0.35">
      <c r="A209" s="8" t="s">
        <v>38</v>
      </c>
      <c r="B209" s="16">
        <v>10</v>
      </c>
      <c r="C209" t="s">
        <v>345</v>
      </c>
      <c r="D209" s="8" t="s">
        <v>11</v>
      </c>
      <c r="E209" s="14">
        <v>10932582</v>
      </c>
      <c r="F209" s="14">
        <v>9516586</v>
      </c>
      <c r="G209" s="14">
        <v>1415996</v>
      </c>
      <c r="H209" s="6">
        <v>0.12952072986966848</v>
      </c>
      <c r="I209" s="6">
        <v>0.87047927013033155</v>
      </c>
      <c r="J209" s="3">
        <v>45576</v>
      </c>
      <c r="K209">
        <v>2024</v>
      </c>
    </row>
    <row r="210" spans="1:11" x14ac:dyDescent="0.35">
      <c r="A210" s="8" t="s">
        <v>38</v>
      </c>
      <c r="B210" s="16">
        <v>10</v>
      </c>
      <c r="C210" t="s">
        <v>345</v>
      </c>
      <c r="D210" s="8" t="s">
        <v>11</v>
      </c>
      <c r="E210" s="14">
        <v>2093322</v>
      </c>
      <c r="F210" s="14">
        <v>846252</v>
      </c>
      <c r="G210" s="14">
        <v>1247070</v>
      </c>
      <c r="H210" s="6">
        <v>0.59573730176246176</v>
      </c>
      <c r="I210" s="6">
        <v>0.40426269823753824</v>
      </c>
      <c r="J210" s="3">
        <v>45947</v>
      </c>
      <c r="K210">
        <v>2025</v>
      </c>
    </row>
    <row r="211" spans="1:11" x14ac:dyDescent="0.35">
      <c r="A211" s="8" t="s">
        <v>38</v>
      </c>
      <c r="B211" s="16">
        <v>10</v>
      </c>
      <c r="C211" t="s">
        <v>345</v>
      </c>
      <c r="D211" s="8" t="s">
        <v>11</v>
      </c>
      <c r="E211" s="14">
        <v>6641746</v>
      </c>
      <c r="F211" s="14">
        <v>2466037</v>
      </c>
      <c r="G211" s="14">
        <v>4175709</v>
      </c>
      <c r="H211" s="6">
        <v>0.62870651783431641</v>
      </c>
      <c r="I211" s="6">
        <v>0.37129348216568353</v>
      </c>
      <c r="J211" s="3">
        <v>45568</v>
      </c>
      <c r="K211">
        <v>2024</v>
      </c>
    </row>
    <row r="212" spans="1:11" x14ac:dyDescent="0.35">
      <c r="A212" s="8" t="s">
        <v>38</v>
      </c>
      <c r="B212" s="16">
        <v>10</v>
      </c>
      <c r="C212" t="s">
        <v>345</v>
      </c>
      <c r="D212" s="8" t="s">
        <v>11</v>
      </c>
      <c r="E212" s="14">
        <v>7713630</v>
      </c>
      <c r="F212" s="14">
        <v>1832250</v>
      </c>
      <c r="G212" s="14">
        <v>5881380</v>
      </c>
      <c r="H212" s="6">
        <v>0.7624659207143718</v>
      </c>
      <c r="I212" s="6">
        <v>0.23753407928562817</v>
      </c>
      <c r="J212" s="3">
        <v>45950</v>
      </c>
      <c r="K212">
        <v>2025</v>
      </c>
    </row>
    <row r="213" spans="1:11" x14ac:dyDescent="0.35">
      <c r="A213" s="8" t="s">
        <v>38</v>
      </c>
      <c r="B213" s="16">
        <v>10</v>
      </c>
      <c r="C213" t="s">
        <v>345</v>
      </c>
      <c r="D213" s="8" t="s">
        <v>325</v>
      </c>
      <c r="E213" s="14">
        <v>10422659</v>
      </c>
      <c r="F213" s="14">
        <v>8777125</v>
      </c>
      <c r="G213" s="14">
        <v>1645534</v>
      </c>
      <c r="H213" s="6">
        <v>0.15788044106595064</v>
      </c>
      <c r="I213" s="6">
        <v>0.84211955893404933</v>
      </c>
      <c r="J213" s="3">
        <v>45573</v>
      </c>
      <c r="K213">
        <v>2024</v>
      </c>
    </row>
    <row r="214" spans="1:11" x14ac:dyDescent="0.35">
      <c r="A214" s="8" t="s">
        <v>38</v>
      </c>
      <c r="B214" s="16">
        <v>10</v>
      </c>
      <c r="C214" t="s">
        <v>345</v>
      </c>
      <c r="D214" s="8" t="s">
        <v>11</v>
      </c>
      <c r="E214" s="14">
        <v>7713630</v>
      </c>
      <c r="F214" s="14">
        <v>1832250</v>
      </c>
      <c r="G214" s="14">
        <v>5881380</v>
      </c>
      <c r="H214" s="6">
        <v>0.7624659207143718</v>
      </c>
      <c r="I214" s="6">
        <v>0.23753407928562817</v>
      </c>
      <c r="J214" s="3">
        <v>45588</v>
      </c>
      <c r="K214">
        <v>2024</v>
      </c>
    </row>
    <row r="215" spans="1:11" x14ac:dyDescent="0.35">
      <c r="A215" s="8" t="s">
        <v>38</v>
      </c>
      <c r="B215" s="16">
        <v>10</v>
      </c>
      <c r="C215" t="s">
        <v>345</v>
      </c>
      <c r="D215" s="8" t="s">
        <v>325</v>
      </c>
      <c r="E215" s="14">
        <v>17772619</v>
      </c>
      <c r="F215" s="14">
        <v>3751148</v>
      </c>
      <c r="G215" s="14">
        <v>14021471</v>
      </c>
      <c r="H215" s="6">
        <v>0.78893667838150361</v>
      </c>
      <c r="I215" s="6">
        <v>0.21106332161849642</v>
      </c>
      <c r="J215" s="3">
        <v>45955</v>
      </c>
      <c r="K215">
        <v>2025</v>
      </c>
    </row>
    <row r="216" spans="1:11" x14ac:dyDescent="0.35">
      <c r="A216" s="8" t="s">
        <v>30</v>
      </c>
      <c r="B216" s="16">
        <v>11</v>
      </c>
      <c r="C216" t="s">
        <v>345</v>
      </c>
      <c r="D216" s="8" t="s">
        <v>11</v>
      </c>
      <c r="E216" s="14">
        <v>7713630</v>
      </c>
      <c r="F216" s="14">
        <v>1832250</v>
      </c>
      <c r="G216" s="14">
        <v>5881380</v>
      </c>
      <c r="H216" s="6">
        <v>0.7624659207143718</v>
      </c>
      <c r="I216" s="6">
        <v>0.23753407928562817</v>
      </c>
      <c r="J216" s="3">
        <v>45988</v>
      </c>
      <c r="K216">
        <v>2025</v>
      </c>
    </row>
    <row r="217" spans="1:11" x14ac:dyDescent="0.35">
      <c r="A217" s="8" t="s">
        <v>30</v>
      </c>
      <c r="B217" s="16">
        <v>11</v>
      </c>
      <c r="C217" t="s">
        <v>345</v>
      </c>
      <c r="D217" s="8" t="s">
        <v>325</v>
      </c>
      <c r="E217" s="14">
        <v>6659621</v>
      </c>
      <c r="F217" s="14">
        <v>5718412</v>
      </c>
      <c r="G217" s="14">
        <v>941209</v>
      </c>
      <c r="H217" s="6">
        <v>0.14133071536653513</v>
      </c>
      <c r="I217" s="6">
        <v>0.85866928463346492</v>
      </c>
      <c r="J217" s="3">
        <v>45967</v>
      </c>
      <c r="K217">
        <v>2025</v>
      </c>
    </row>
    <row r="218" spans="1:11" x14ac:dyDescent="0.35">
      <c r="A218" s="8" t="s">
        <v>30</v>
      </c>
      <c r="B218" s="16">
        <v>11</v>
      </c>
      <c r="C218" t="s">
        <v>345</v>
      </c>
      <c r="D218" s="8" t="s">
        <v>325</v>
      </c>
      <c r="E218" s="14">
        <v>6659621</v>
      </c>
      <c r="F218" s="14">
        <v>5718412</v>
      </c>
      <c r="G218" s="14">
        <v>941209</v>
      </c>
      <c r="H218" s="6">
        <v>0.14133071536653513</v>
      </c>
      <c r="I218" s="6">
        <v>0.85866928463346492</v>
      </c>
      <c r="J218" s="3">
        <v>45988</v>
      </c>
      <c r="K218">
        <v>2025</v>
      </c>
    </row>
    <row r="219" spans="1:11" x14ac:dyDescent="0.35">
      <c r="A219" s="8" t="s">
        <v>30</v>
      </c>
      <c r="B219" s="16">
        <v>11</v>
      </c>
      <c r="C219" t="s">
        <v>345</v>
      </c>
      <c r="D219" s="8" t="s">
        <v>11</v>
      </c>
      <c r="E219" s="14">
        <v>6629660</v>
      </c>
      <c r="F219" s="14">
        <v>3523400</v>
      </c>
      <c r="G219" s="14">
        <v>3106260</v>
      </c>
      <c r="H219" s="6">
        <v>0.4685398647894462</v>
      </c>
      <c r="I219" s="6">
        <v>0.5314601352105538</v>
      </c>
      <c r="J219" s="3">
        <v>45611</v>
      </c>
      <c r="K219">
        <v>2024</v>
      </c>
    </row>
    <row r="220" spans="1:11" x14ac:dyDescent="0.35">
      <c r="A220" s="8" t="s">
        <v>30</v>
      </c>
      <c r="B220" s="16">
        <v>11</v>
      </c>
      <c r="C220" t="s">
        <v>345</v>
      </c>
      <c r="D220" s="8" t="s">
        <v>11</v>
      </c>
      <c r="E220" s="14">
        <v>9814492</v>
      </c>
      <c r="F220" s="14">
        <v>5074629</v>
      </c>
      <c r="G220" s="14">
        <v>4739863</v>
      </c>
      <c r="H220" s="6">
        <v>0.48294532208085755</v>
      </c>
      <c r="I220" s="6">
        <v>0.51705467791914239</v>
      </c>
      <c r="J220" s="3">
        <v>45614</v>
      </c>
      <c r="K220">
        <v>2024</v>
      </c>
    </row>
    <row r="221" spans="1:11" x14ac:dyDescent="0.35">
      <c r="A221" s="8" t="s">
        <v>30</v>
      </c>
      <c r="B221" s="16">
        <v>11</v>
      </c>
      <c r="C221" t="s">
        <v>345</v>
      </c>
      <c r="D221" s="8" t="s">
        <v>11</v>
      </c>
      <c r="E221" s="14">
        <v>5297234</v>
      </c>
      <c r="F221" s="14">
        <v>3596622</v>
      </c>
      <c r="G221" s="14">
        <v>1700612</v>
      </c>
      <c r="H221" s="6">
        <v>0.32103773403251584</v>
      </c>
      <c r="I221" s="6">
        <v>0.67896226596748421</v>
      </c>
      <c r="J221" s="3">
        <v>45969</v>
      </c>
      <c r="K221">
        <v>2025</v>
      </c>
    </row>
    <row r="222" spans="1:11" x14ac:dyDescent="0.35">
      <c r="A222" s="8" t="s">
        <v>30</v>
      </c>
      <c r="B222" s="16">
        <v>11</v>
      </c>
      <c r="C222" t="s">
        <v>345</v>
      </c>
      <c r="D222" s="8" t="s">
        <v>325</v>
      </c>
      <c r="E222" s="14">
        <v>10655734</v>
      </c>
      <c r="F222" s="14">
        <v>2408508</v>
      </c>
      <c r="G222" s="14">
        <v>8247226</v>
      </c>
      <c r="H222" s="6">
        <v>0.77397070910366195</v>
      </c>
      <c r="I222" s="6">
        <v>0.22602929089633805</v>
      </c>
      <c r="J222" s="3">
        <v>45978</v>
      </c>
      <c r="K222">
        <v>2025</v>
      </c>
    </row>
    <row r="223" spans="1:11" x14ac:dyDescent="0.35">
      <c r="A223" s="8" t="s">
        <v>30</v>
      </c>
      <c r="B223" s="16">
        <v>11</v>
      </c>
      <c r="C223" t="s">
        <v>345</v>
      </c>
      <c r="D223" s="8" t="s">
        <v>325</v>
      </c>
      <c r="E223" s="14">
        <v>6659621</v>
      </c>
      <c r="F223" s="14">
        <v>5718412</v>
      </c>
      <c r="G223" s="14">
        <v>941209</v>
      </c>
      <c r="H223" s="6">
        <v>0.14133071536653513</v>
      </c>
      <c r="I223" s="6">
        <v>0.85866928463346492</v>
      </c>
      <c r="J223" s="3">
        <v>45606</v>
      </c>
      <c r="K223">
        <v>2024</v>
      </c>
    </row>
    <row r="224" spans="1:11" x14ac:dyDescent="0.35">
      <c r="A224" s="8" t="s">
        <v>30</v>
      </c>
      <c r="B224" s="16">
        <v>11</v>
      </c>
      <c r="C224" t="s">
        <v>345</v>
      </c>
      <c r="D224" s="8" t="s">
        <v>325</v>
      </c>
      <c r="E224" s="14">
        <v>12433378</v>
      </c>
      <c r="F224" s="14">
        <v>3398230</v>
      </c>
      <c r="G224" s="14">
        <v>9035148</v>
      </c>
      <c r="H224" s="6">
        <v>0.72668489609179421</v>
      </c>
      <c r="I224" s="6">
        <v>0.27331510390820579</v>
      </c>
      <c r="J224" s="3">
        <v>45984</v>
      </c>
      <c r="K224">
        <v>2025</v>
      </c>
    </row>
    <row r="225" spans="1:11" x14ac:dyDescent="0.35">
      <c r="A225" s="8" t="s">
        <v>30</v>
      </c>
      <c r="B225" s="16">
        <v>11</v>
      </c>
      <c r="C225" t="s">
        <v>345</v>
      </c>
      <c r="D225" s="8" t="s">
        <v>11</v>
      </c>
      <c r="E225" s="14">
        <v>3115955</v>
      </c>
      <c r="F225" s="14">
        <v>2888010</v>
      </c>
      <c r="G225" s="14">
        <v>227945</v>
      </c>
      <c r="H225" s="6">
        <v>7.3154137335102717E-2</v>
      </c>
      <c r="I225" s="6">
        <v>0.92684586266489732</v>
      </c>
      <c r="J225" s="3">
        <v>45979</v>
      </c>
      <c r="K225">
        <v>2025</v>
      </c>
    </row>
    <row r="226" spans="1:11" x14ac:dyDescent="0.35">
      <c r="A226" s="8" t="s">
        <v>30</v>
      </c>
      <c r="B226" s="16">
        <v>11</v>
      </c>
      <c r="C226" t="s">
        <v>345</v>
      </c>
      <c r="D226" s="8" t="s">
        <v>325</v>
      </c>
      <c r="E226" s="14">
        <v>10422659</v>
      </c>
      <c r="F226" s="14">
        <v>8777125</v>
      </c>
      <c r="G226" s="14">
        <v>1645534</v>
      </c>
      <c r="H226" s="6">
        <v>0.15788044106595064</v>
      </c>
      <c r="I226" s="6">
        <v>0.84211955893404933</v>
      </c>
      <c r="J226" s="3">
        <v>45977</v>
      </c>
      <c r="K226">
        <v>2025</v>
      </c>
    </row>
    <row r="227" spans="1:11" x14ac:dyDescent="0.35">
      <c r="A227" s="8" t="s">
        <v>30</v>
      </c>
      <c r="B227" s="16">
        <v>11</v>
      </c>
      <c r="C227" t="s">
        <v>345</v>
      </c>
      <c r="D227" s="8" t="s">
        <v>325</v>
      </c>
      <c r="E227" s="14">
        <v>13243123</v>
      </c>
      <c r="F227" s="14">
        <v>5468428</v>
      </c>
      <c r="G227" s="14">
        <v>7774695</v>
      </c>
      <c r="H227" s="6">
        <v>0.5870741365159865</v>
      </c>
      <c r="I227" s="6">
        <v>0.41292586348401356</v>
      </c>
      <c r="J227" s="3">
        <v>45991</v>
      </c>
      <c r="K227">
        <v>2025</v>
      </c>
    </row>
    <row r="228" spans="1:11" x14ac:dyDescent="0.35">
      <c r="A228" s="8" t="s">
        <v>30</v>
      </c>
      <c r="B228" s="16">
        <v>11</v>
      </c>
      <c r="C228" t="s">
        <v>345</v>
      </c>
      <c r="D228" s="8" t="s">
        <v>325</v>
      </c>
      <c r="E228" s="14">
        <v>10422659</v>
      </c>
      <c r="F228" s="14">
        <v>8777125</v>
      </c>
      <c r="G228" s="14">
        <v>1645534</v>
      </c>
      <c r="H228" s="6">
        <v>0.15788044106595064</v>
      </c>
      <c r="I228" s="6">
        <v>0.84211955893404933</v>
      </c>
      <c r="J228" s="3">
        <v>45624</v>
      </c>
      <c r="K228">
        <v>2024</v>
      </c>
    </row>
    <row r="229" spans="1:11" x14ac:dyDescent="0.35">
      <c r="A229" s="8" t="s">
        <v>30</v>
      </c>
      <c r="B229" s="16">
        <v>11</v>
      </c>
      <c r="C229" t="s">
        <v>345</v>
      </c>
      <c r="D229" s="8" t="s">
        <v>11</v>
      </c>
      <c r="E229" s="14">
        <v>9814492</v>
      </c>
      <c r="F229" s="14">
        <v>5074629</v>
      </c>
      <c r="G229" s="14">
        <v>4739863</v>
      </c>
      <c r="H229" s="6">
        <v>0.48294532208085755</v>
      </c>
      <c r="I229" s="6">
        <v>0.51705467791914239</v>
      </c>
      <c r="J229" s="3">
        <v>45623</v>
      </c>
      <c r="K229">
        <v>2024</v>
      </c>
    </row>
    <row r="230" spans="1:11" x14ac:dyDescent="0.35">
      <c r="A230" s="8" t="s">
        <v>30</v>
      </c>
      <c r="B230" s="16">
        <v>11</v>
      </c>
      <c r="C230" t="s">
        <v>345</v>
      </c>
      <c r="D230" s="8" t="s">
        <v>325</v>
      </c>
      <c r="E230" s="14">
        <v>12433378</v>
      </c>
      <c r="F230" s="14">
        <v>3398230</v>
      </c>
      <c r="G230" s="14">
        <v>9035148</v>
      </c>
      <c r="H230" s="6">
        <v>0.72668489609179421</v>
      </c>
      <c r="I230" s="6">
        <v>0.27331510390820579</v>
      </c>
      <c r="J230" s="3">
        <v>45990</v>
      </c>
      <c r="K230">
        <v>2025</v>
      </c>
    </row>
    <row r="231" spans="1:11" x14ac:dyDescent="0.35">
      <c r="A231" s="8" t="s">
        <v>30</v>
      </c>
      <c r="B231" s="16">
        <v>11</v>
      </c>
      <c r="C231" t="s">
        <v>345</v>
      </c>
      <c r="D231" s="8" t="s">
        <v>325</v>
      </c>
      <c r="E231" s="14">
        <v>10655734</v>
      </c>
      <c r="F231" s="14">
        <v>2408508</v>
      </c>
      <c r="G231" s="14">
        <v>8247226</v>
      </c>
      <c r="H231" s="6">
        <v>0.77397070910366195</v>
      </c>
      <c r="I231" s="6">
        <v>0.22602929089633805</v>
      </c>
      <c r="J231" s="3">
        <v>45615</v>
      </c>
      <c r="K231">
        <v>2024</v>
      </c>
    </row>
    <row r="232" spans="1:11" x14ac:dyDescent="0.35">
      <c r="A232" s="8" t="s">
        <v>33</v>
      </c>
      <c r="B232" s="16">
        <v>12</v>
      </c>
      <c r="C232" t="s">
        <v>345</v>
      </c>
      <c r="D232" s="8" t="s">
        <v>325</v>
      </c>
      <c r="E232" s="14">
        <v>8925622</v>
      </c>
      <c r="F232" s="14">
        <v>7859625</v>
      </c>
      <c r="G232" s="14">
        <v>1065997</v>
      </c>
      <c r="H232" s="6">
        <v>0.11943111639726621</v>
      </c>
      <c r="I232" s="6">
        <v>0.88056888360273378</v>
      </c>
      <c r="J232" s="3">
        <v>46010</v>
      </c>
      <c r="K232">
        <v>2025</v>
      </c>
    </row>
    <row r="233" spans="1:11" x14ac:dyDescent="0.35">
      <c r="A233" s="8" t="s">
        <v>33</v>
      </c>
      <c r="B233" s="16">
        <v>12</v>
      </c>
      <c r="C233" t="s">
        <v>345</v>
      </c>
      <c r="D233" s="8" t="s">
        <v>11</v>
      </c>
      <c r="E233" s="14">
        <v>5297234</v>
      </c>
      <c r="F233" s="14">
        <v>3596622</v>
      </c>
      <c r="G233" s="14">
        <v>1700612</v>
      </c>
      <c r="H233" s="6">
        <v>0.32103773403251584</v>
      </c>
      <c r="I233" s="6">
        <v>0.67896226596748421</v>
      </c>
      <c r="J233" s="3">
        <v>46016</v>
      </c>
      <c r="K233">
        <v>2025</v>
      </c>
    </row>
    <row r="234" spans="1:11" x14ac:dyDescent="0.35">
      <c r="A234" s="8" t="s">
        <v>33</v>
      </c>
      <c r="B234" s="16">
        <v>12</v>
      </c>
      <c r="C234" t="s">
        <v>345</v>
      </c>
      <c r="D234" s="8" t="s">
        <v>325</v>
      </c>
      <c r="E234" s="14">
        <v>9166769</v>
      </c>
      <c r="F234" s="14">
        <v>7049977</v>
      </c>
      <c r="G234" s="14">
        <v>2116792</v>
      </c>
      <c r="H234" s="6">
        <v>0.23092018572738116</v>
      </c>
      <c r="I234" s="6">
        <v>0.76907981427261884</v>
      </c>
      <c r="J234" s="3">
        <v>45655</v>
      </c>
      <c r="K234">
        <v>2024</v>
      </c>
    </row>
    <row r="235" spans="1:11" x14ac:dyDescent="0.35">
      <c r="A235" s="8" t="s">
        <v>33</v>
      </c>
      <c r="B235" s="16">
        <v>12</v>
      </c>
      <c r="C235" t="s">
        <v>345</v>
      </c>
      <c r="D235" s="8" t="s">
        <v>325</v>
      </c>
      <c r="E235" s="14">
        <v>9406634</v>
      </c>
      <c r="F235" s="14">
        <v>1310092</v>
      </c>
      <c r="G235" s="14">
        <v>8096542</v>
      </c>
      <c r="H235" s="6">
        <v>0.8607268019570018</v>
      </c>
      <c r="I235" s="6">
        <v>0.13927319804299818</v>
      </c>
      <c r="J235" s="3">
        <v>45996</v>
      </c>
      <c r="K235">
        <v>2025</v>
      </c>
    </row>
    <row r="236" spans="1:11" x14ac:dyDescent="0.35">
      <c r="A236" s="8" t="s">
        <v>33</v>
      </c>
      <c r="B236" s="16">
        <v>12</v>
      </c>
      <c r="C236" t="s">
        <v>345</v>
      </c>
      <c r="D236" s="8" t="s">
        <v>325</v>
      </c>
      <c r="E236" s="14">
        <v>10655734</v>
      </c>
      <c r="F236" s="14">
        <v>2408508</v>
      </c>
      <c r="G236" s="14">
        <v>8247226</v>
      </c>
      <c r="H236" s="6">
        <v>0.77397070910366195</v>
      </c>
      <c r="I236" s="6">
        <v>0.22602929089633805</v>
      </c>
      <c r="J236" s="3">
        <v>45638</v>
      </c>
      <c r="K236">
        <v>2024</v>
      </c>
    </row>
    <row r="237" spans="1:11" x14ac:dyDescent="0.35">
      <c r="A237" s="8" t="s">
        <v>33</v>
      </c>
      <c r="B237" s="16">
        <v>12</v>
      </c>
      <c r="C237" t="s">
        <v>345</v>
      </c>
      <c r="D237" s="8" t="s">
        <v>325</v>
      </c>
      <c r="E237" s="14">
        <v>17772619</v>
      </c>
      <c r="F237" s="14">
        <v>3751148</v>
      </c>
      <c r="G237" s="14">
        <v>14021471</v>
      </c>
      <c r="H237" s="6">
        <v>0.78893667838150361</v>
      </c>
      <c r="I237" s="6">
        <v>0.21106332161849642</v>
      </c>
      <c r="J237" s="3">
        <v>45640</v>
      </c>
      <c r="K237">
        <v>2024</v>
      </c>
    </row>
    <row r="238" spans="1:11" x14ac:dyDescent="0.35">
      <c r="A238" s="8" t="s">
        <v>33</v>
      </c>
      <c r="B238" s="16">
        <v>12</v>
      </c>
      <c r="C238" t="s">
        <v>345</v>
      </c>
      <c r="D238" s="8" t="s">
        <v>325</v>
      </c>
      <c r="E238" s="14">
        <v>13395811</v>
      </c>
      <c r="F238" s="14">
        <v>8109917</v>
      </c>
      <c r="G238" s="14">
        <v>5285894</v>
      </c>
      <c r="H238" s="6">
        <v>0.39459305599339972</v>
      </c>
      <c r="I238" s="6">
        <v>0.60540694400660022</v>
      </c>
      <c r="J238" s="3">
        <v>45993</v>
      </c>
      <c r="K238">
        <v>2025</v>
      </c>
    </row>
    <row r="239" spans="1:11" x14ac:dyDescent="0.35">
      <c r="A239" s="8" t="s">
        <v>33</v>
      </c>
      <c r="B239" s="16">
        <v>12</v>
      </c>
      <c r="C239" t="s">
        <v>345</v>
      </c>
      <c r="D239" s="8" t="s">
        <v>11</v>
      </c>
      <c r="E239" s="14">
        <v>10932582</v>
      </c>
      <c r="F239" s="14">
        <v>9516586</v>
      </c>
      <c r="G239" s="14">
        <v>1415996</v>
      </c>
      <c r="H239" s="6">
        <v>0.12952072986966848</v>
      </c>
      <c r="I239" s="6">
        <v>0.87047927013033155</v>
      </c>
      <c r="J239" s="3">
        <v>45996</v>
      </c>
      <c r="K239">
        <v>2025</v>
      </c>
    </row>
    <row r="240" spans="1:11" x14ac:dyDescent="0.35">
      <c r="A240" s="8" t="s">
        <v>33</v>
      </c>
      <c r="B240" s="16">
        <v>12</v>
      </c>
      <c r="C240" t="s">
        <v>345</v>
      </c>
      <c r="D240" s="8" t="s">
        <v>325</v>
      </c>
      <c r="E240" s="14">
        <v>13395811</v>
      </c>
      <c r="F240" s="14">
        <v>8109917</v>
      </c>
      <c r="G240" s="14">
        <v>5285894</v>
      </c>
      <c r="H240" s="6">
        <v>0.39459305599339972</v>
      </c>
      <c r="I240" s="6">
        <v>0.60540694400660022</v>
      </c>
      <c r="J240" s="3">
        <v>45636</v>
      </c>
      <c r="K240">
        <v>2024</v>
      </c>
    </row>
    <row r="241" spans="1:11" x14ac:dyDescent="0.35">
      <c r="A241" s="8" t="s">
        <v>33</v>
      </c>
      <c r="B241" s="16">
        <v>12</v>
      </c>
      <c r="C241" t="s">
        <v>345</v>
      </c>
      <c r="D241" s="8" t="s">
        <v>11</v>
      </c>
      <c r="E241" s="14">
        <v>3115955</v>
      </c>
      <c r="F241" s="14">
        <v>2888010</v>
      </c>
      <c r="G241" s="14">
        <v>227945</v>
      </c>
      <c r="H241" s="6">
        <v>7.3154137335102717E-2</v>
      </c>
      <c r="I241" s="6">
        <v>0.92684586266489732</v>
      </c>
      <c r="J241" s="3">
        <v>45644</v>
      </c>
      <c r="K241">
        <v>2024</v>
      </c>
    </row>
    <row r="242" spans="1:11" x14ac:dyDescent="0.35">
      <c r="A242" s="8" t="s">
        <v>33</v>
      </c>
      <c r="B242" s="16">
        <v>12</v>
      </c>
      <c r="C242" t="s">
        <v>345</v>
      </c>
      <c r="D242" s="8" t="s">
        <v>325</v>
      </c>
      <c r="E242" s="14">
        <v>13395142</v>
      </c>
      <c r="F242" s="14">
        <v>3866714</v>
      </c>
      <c r="G242" s="14">
        <v>9528428</v>
      </c>
      <c r="H242" s="6">
        <v>0.71133460175338192</v>
      </c>
      <c r="I242" s="6">
        <v>0.28866539824661808</v>
      </c>
      <c r="J242" s="3">
        <v>45996</v>
      </c>
      <c r="K242">
        <v>2025</v>
      </c>
    </row>
    <row r="243" spans="1:11" x14ac:dyDescent="0.35">
      <c r="A243" s="8" t="s">
        <v>33</v>
      </c>
      <c r="B243" s="16">
        <v>12</v>
      </c>
      <c r="C243" t="s">
        <v>345</v>
      </c>
      <c r="D243" s="8" t="s">
        <v>11</v>
      </c>
      <c r="E243" s="14">
        <v>2093322</v>
      </c>
      <c r="F243" s="14">
        <v>846252</v>
      </c>
      <c r="G243" s="14">
        <v>1247070</v>
      </c>
      <c r="H243" s="6">
        <v>0.59573730176246176</v>
      </c>
      <c r="I243" s="6">
        <v>0.40426269823753824</v>
      </c>
      <c r="J243" s="3">
        <v>45630</v>
      </c>
      <c r="K243">
        <v>2024</v>
      </c>
    </row>
    <row r="244" spans="1:11" x14ac:dyDescent="0.35">
      <c r="A244" s="8" t="s">
        <v>33</v>
      </c>
      <c r="B244" s="16">
        <v>12</v>
      </c>
      <c r="C244" t="s">
        <v>345</v>
      </c>
      <c r="D244" s="8" t="s">
        <v>325</v>
      </c>
      <c r="E244" s="14">
        <v>13395142</v>
      </c>
      <c r="F244" s="14">
        <v>3866714</v>
      </c>
      <c r="G244" s="14">
        <v>9528428</v>
      </c>
      <c r="H244" s="6">
        <v>0.71133460175338192</v>
      </c>
      <c r="I244" s="6">
        <v>0.28866539824661808</v>
      </c>
      <c r="J244" s="3">
        <v>45998</v>
      </c>
      <c r="K244">
        <v>2025</v>
      </c>
    </row>
    <row r="245" spans="1:11" x14ac:dyDescent="0.35">
      <c r="A245" s="8" t="s">
        <v>33</v>
      </c>
      <c r="B245" s="16">
        <v>12</v>
      </c>
      <c r="C245" t="s">
        <v>345</v>
      </c>
      <c r="D245" s="8" t="s">
        <v>325</v>
      </c>
      <c r="E245" s="14">
        <v>8925622</v>
      </c>
      <c r="F245" s="14">
        <v>7859625</v>
      </c>
      <c r="G245" s="14">
        <v>1065997</v>
      </c>
      <c r="H245" s="6">
        <v>0.11943111639726621</v>
      </c>
      <c r="I245" s="6">
        <v>0.88056888360273378</v>
      </c>
      <c r="J245" s="3">
        <v>46006</v>
      </c>
      <c r="K245">
        <v>2025</v>
      </c>
    </row>
    <row r="246" spans="1:11" x14ac:dyDescent="0.35">
      <c r="A246" s="8" t="s">
        <v>33</v>
      </c>
      <c r="B246" s="16">
        <v>12</v>
      </c>
      <c r="C246" t="s">
        <v>345</v>
      </c>
      <c r="D246" s="8" t="s">
        <v>325</v>
      </c>
      <c r="E246" s="14">
        <v>17872796</v>
      </c>
      <c r="F246" s="14">
        <v>4065021</v>
      </c>
      <c r="G246" s="14">
        <v>13807775</v>
      </c>
      <c r="H246" s="6">
        <v>0.77255819402851122</v>
      </c>
      <c r="I246" s="6">
        <v>0.22744180597148875</v>
      </c>
      <c r="J246" s="3">
        <v>46010</v>
      </c>
      <c r="K246">
        <v>2025</v>
      </c>
    </row>
    <row r="247" spans="1:11" x14ac:dyDescent="0.35">
      <c r="A247" s="8" t="s">
        <v>33</v>
      </c>
      <c r="B247" s="16">
        <v>12</v>
      </c>
      <c r="C247" t="s">
        <v>345</v>
      </c>
      <c r="D247" s="8" t="s">
        <v>11</v>
      </c>
      <c r="E247" s="14">
        <v>9869633</v>
      </c>
      <c r="F247" s="14">
        <v>8708702</v>
      </c>
      <c r="G247" s="14">
        <v>1160931</v>
      </c>
      <c r="H247" s="6">
        <v>0.11762656220347809</v>
      </c>
      <c r="I247" s="6">
        <v>0.88237343779652189</v>
      </c>
      <c r="J247" s="3">
        <v>45636</v>
      </c>
      <c r="K247">
        <v>2024</v>
      </c>
    </row>
    <row r="248" spans="1:11" x14ac:dyDescent="0.35">
      <c r="A248" s="8" t="s">
        <v>33</v>
      </c>
      <c r="B248" s="16">
        <v>12</v>
      </c>
      <c r="C248" t="s">
        <v>345</v>
      </c>
      <c r="D248" s="8" t="s">
        <v>11</v>
      </c>
      <c r="E248" s="14">
        <v>7684666</v>
      </c>
      <c r="F248" s="14">
        <v>5053533</v>
      </c>
      <c r="G248" s="14">
        <v>2631133</v>
      </c>
      <c r="H248" s="6">
        <v>0.34238742451526194</v>
      </c>
      <c r="I248" s="6">
        <v>0.65761257548473806</v>
      </c>
      <c r="J248" s="3">
        <v>46001</v>
      </c>
      <c r="K248">
        <v>2025</v>
      </c>
    </row>
    <row r="249" spans="1:11" x14ac:dyDescent="0.35">
      <c r="A249" s="8" t="s">
        <v>33</v>
      </c>
      <c r="B249" s="16">
        <v>12</v>
      </c>
      <c r="C249" t="s">
        <v>345</v>
      </c>
      <c r="D249" s="8" t="s">
        <v>11</v>
      </c>
      <c r="E249" s="14">
        <v>7713630</v>
      </c>
      <c r="F249" s="14">
        <v>1832250</v>
      </c>
      <c r="G249" s="14">
        <v>5881380</v>
      </c>
      <c r="H249" s="6">
        <v>0.7624659207143718</v>
      </c>
      <c r="I249" s="6">
        <v>0.23753407928562817</v>
      </c>
      <c r="J249" s="3">
        <v>46022</v>
      </c>
      <c r="K249">
        <v>2025</v>
      </c>
    </row>
    <row r="250" spans="1:11" x14ac:dyDescent="0.35">
      <c r="A250" s="8" t="s">
        <v>33</v>
      </c>
      <c r="B250" s="16">
        <v>12</v>
      </c>
      <c r="C250" t="s">
        <v>345</v>
      </c>
      <c r="D250" s="8" t="s">
        <v>11</v>
      </c>
      <c r="E250" s="14">
        <v>9814492</v>
      </c>
      <c r="F250" s="14">
        <v>5074629</v>
      </c>
      <c r="G250" s="14">
        <v>4739863</v>
      </c>
      <c r="H250" s="6">
        <v>0.48294532208085755</v>
      </c>
      <c r="I250" s="6">
        <v>0.51705467791914239</v>
      </c>
      <c r="J250" s="3">
        <v>46013</v>
      </c>
      <c r="K250">
        <v>2025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6D4B1-0DF7-4EEA-8BD4-3EA77835F66C}">
  <dimension ref="A2:W32"/>
  <sheetViews>
    <sheetView zoomScale="75" workbookViewId="0">
      <selection activeCell="J2" sqref="J2"/>
    </sheetView>
  </sheetViews>
  <sheetFormatPr defaultRowHeight="14.5" x14ac:dyDescent="0.35"/>
  <cols>
    <col min="1" max="1" width="15.26953125" bestFit="1" customWidth="1"/>
    <col min="2" max="2" width="30.1796875" customWidth="1"/>
    <col min="3" max="3" width="26.81640625" customWidth="1"/>
    <col min="4" max="4" width="29.26953125" customWidth="1"/>
    <col min="5" max="5" width="16.1796875" bestFit="1" customWidth="1"/>
    <col min="6" max="6" width="17.81640625" bestFit="1" customWidth="1"/>
    <col min="7" max="7" width="16.453125" bestFit="1" customWidth="1"/>
    <col min="8" max="8" width="21.6328125" customWidth="1"/>
    <col min="9" max="9" width="23.7265625" customWidth="1"/>
    <col min="10" max="10" width="17.7265625" customWidth="1"/>
    <col min="11" max="11" width="24.81640625" customWidth="1"/>
    <col min="12" max="12" width="15.6328125" bestFit="1" customWidth="1"/>
    <col min="13" max="13" width="15.26953125" bestFit="1" customWidth="1"/>
    <col min="14" max="14" width="11" bestFit="1" customWidth="1"/>
    <col min="15" max="15" width="22.26953125" bestFit="1" customWidth="1"/>
    <col min="16" max="16" width="13.81640625" bestFit="1" customWidth="1"/>
    <col min="17" max="17" width="16.453125" bestFit="1" customWidth="1"/>
    <col min="18" max="18" width="16.1796875" bestFit="1" customWidth="1"/>
    <col min="19" max="19" width="17.81640625" bestFit="1" customWidth="1"/>
    <col min="20" max="20" width="15.26953125" bestFit="1" customWidth="1"/>
    <col min="21" max="23" width="17.54296875" bestFit="1" customWidth="1"/>
  </cols>
  <sheetData>
    <row r="2" spans="1:22" x14ac:dyDescent="0.35">
      <c r="K2" s="9" t="s">
        <v>330</v>
      </c>
      <c r="L2" t="s">
        <v>335</v>
      </c>
      <c r="M2" t="s">
        <v>332</v>
      </c>
      <c r="O2" s="9" t="s">
        <v>336</v>
      </c>
      <c r="P2" s="9" t="s">
        <v>333</v>
      </c>
      <c r="T2" t="s">
        <v>337</v>
      </c>
      <c r="U2" t="s">
        <v>338</v>
      </c>
    </row>
    <row r="3" spans="1:22" x14ac:dyDescent="0.35">
      <c r="A3" s="9" t="s">
        <v>332</v>
      </c>
      <c r="B3" s="9" t="s">
        <v>333</v>
      </c>
      <c r="F3" s="9" t="s">
        <v>334</v>
      </c>
      <c r="G3" s="9" t="s">
        <v>333</v>
      </c>
      <c r="K3" s="10">
        <v>2024</v>
      </c>
      <c r="L3" s="15">
        <v>642703487</v>
      </c>
      <c r="M3" s="15">
        <v>1194737216</v>
      </c>
      <c r="O3" s="9" t="s">
        <v>330</v>
      </c>
      <c r="P3">
        <v>2024</v>
      </c>
      <c r="Q3">
        <v>2025</v>
      </c>
      <c r="R3" t="s">
        <v>331</v>
      </c>
      <c r="T3" t="s">
        <v>339</v>
      </c>
      <c r="U3" s="15">
        <f>INDEX($T$10:$V$10,1,MATCH("Sum of Revenue",$T$9:$V$9,0))</f>
        <v>2416079602</v>
      </c>
    </row>
    <row r="4" spans="1:22" x14ac:dyDescent="0.35">
      <c r="A4" s="9" t="s">
        <v>330</v>
      </c>
      <c r="B4">
        <v>2024</v>
      </c>
      <c r="C4">
        <v>2025</v>
      </c>
      <c r="D4" t="s">
        <v>331</v>
      </c>
      <c r="F4" s="9" t="s">
        <v>330</v>
      </c>
      <c r="G4">
        <v>2025</v>
      </c>
      <c r="H4">
        <v>2024</v>
      </c>
      <c r="I4" t="s">
        <v>331</v>
      </c>
      <c r="K4" s="10">
        <v>2025</v>
      </c>
      <c r="L4" s="15">
        <v>556206486</v>
      </c>
      <c r="M4" s="15">
        <v>1221342386</v>
      </c>
      <c r="O4" s="10" t="s">
        <v>19</v>
      </c>
      <c r="P4" s="6">
        <v>0.47705595879994639</v>
      </c>
      <c r="Q4" s="6">
        <v>0.63241767127802528</v>
      </c>
      <c r="R4" s="6">
        <v>0.55162958078942426</v>
      </c>
      <c r="T4" t="s">
        <v>340</v>
      </c>
      <c r="U4" s="15">
        <f>INDEX($T$10:$V$10,1,MATCH("Sum of Expenses",$T$9:$V$9,0))</f>
        <v>1198909973</v>
      </c>
    </row>
    <row r="5" spans="1:22" x14ac:dyDescent="0.35">
      <c r="A5" s="10" t="s">
        <v>19</v>
      </c>
      <c r="B5" s="15">
        <v>129233972</v>
      </c>
      <c r="C5" s="15">
        <v>93638196</v>
      </c>
      <c r="D5" s="15">
        <v>222872168</v>
      </c>
      <c r="F5" s="10" t="s">
        <v>19</v>
      </c>
      <c r="G5" s="15">
        <v>57977162</v>
      </c>
      <c r="H5" s="15">
        <v>66644091</v>
      </c>
      <c r="I5" s="15">
        <v>124621253</v>
      </c>
      <c r="K5" s="10" t="s">
        <v>331</v>
      </c>
      <c r="L5" s="15">
        <v>1198909973</v>
      </c>
      <c r="M5" s="15">
        <v>2416079602</v>
      </c>
      <c r="O5" s="10" t="s">
        <v>15</v>
      </c>
      <c r="P5" s="6">
        <v>0.44761482640845629</v>
      </c>
      <c r="Q5" s="6">
        <v>0.50260223389315861</v>
      </c>
      <c r="R5" s="6">
        <v>0.46960978940233716</v>
      </c>
      <c r="T5" t="s">
        <v>341</v>
      </c>
      <c r="U5" s="15">
        <f>INDEX($T$10:$V$10,1,MATCH("Sum of Profit",$T$9:$V$9,0))</f>
        <v>1217169629</v>
      </c>
    </row>
    <row r="6" spans="1:22" x14ac:dyDescent="0.35">
      <c r="A6" s="10" t="s">
        <v>15</v>
      </c>
      <c r="B6" s="15">
        <v>79825029</v>
      </c>
      <c r="C6" s="15">
        <v>60118920</v>
      </c>
      <c r="D6" s="15">
        <v>139943949</v>
      </c>
      <c r="F6" s="10" t="s">
        <v>15</v>
      </c>
      <c r="G6" s="15">
        <v>33296481</v>
      </c>
      <c r="H6" s="15">
        <v>40996097</v>
      </c>
      <c r="I6" s="15">
        <v>74292578</v>
      </c>
      <c r="O6" s="10" t="s">
        <v>13</v>
      </c>
      <c r="P6" s="6">
        <v>0.34683230174232443</v>
      </c>
      <c r="Q6" s="6">
        <v>0.39652251909421066</v>
      </c>
      <c r="R6" s="6">
        <v>0.36670838868307898</v>
      </c>
      <c r="T6" t="s">
        <v>328</v>
      </c>
      <c r="U6" s="6">
        <f>U5/U3</f>
        <v>0.50377877781528491</v>
      </c>
    </row>
    <row r="7" spans="1:22" x14ac:dyDescent="0.35">
      <c r="A7" s="10" t="s">
        <v>13</v>
      </c>
      <c r="B7" s="15">
        <v>117966864</v>
      </c>
      <c r="C7" s="15">
        <v>79396134</v>
      </c>
      <c r="D7" s="15">
        <v>197362998</v>
      </c>
      <c r="F7" s="10" t="s">
        <v>13</v>
      </c>
      <c r="G7" s="15">
        <v>33448064</v>
      </c>
      <c r="H7" s="15">
        <v>45963118</v>
      </c>
      <c r="I7" s="15">
        <v>79411182</v>
      </c>
      <c r="K7" s="9" t="s">
        <v>330</v>
      </c>
      <c r="L7" t="s">
        <v>334</v>
      </c>
      <c r="M7">
        <f>INDEX(L8:L9,MATCH(2024,K8:K9,0))</f>
        <v>552033729</v>
      </c>
      <c r="O7" s="10" t="s">
        <v>50</v>
      </c>
      <c r="P7" s="6">
        <v>0.43306724241206213</v>
      </c>
      <c r="Q7" s="6">
        <v>0.6158001594507222</v>
      </c>
      <c r="R7" s="6">
        <v>0.4912095341970904</v>
      </c>
      <c r="T7" t="s">
        <v>346</v>
      </c>
      <c r="U7" s="6">
        <f>U4/U3</f>
        <v>0.49622122218471509</v>
      </c>
    </row>
    <row r="8" spans="1:22" x14ac:dyDescent="0.35">
      <c r="A8" s="10" t="s">
        <v>50</v>
      </c>
      <c r="B8" s="15">
        <v>137102640</v>
      </c>
      <c r="C8" s="15">
        <v>73739681</v>
      </c>
      <c r="D8" s="15">
        <v>210842321</v>
      </c>
      <c r="F8" s="10" t="s">
        <v>50</v>
      </c>
      <c r="G8" s="15">
        <v>46224512</v>
      </c>
      <c r="H8" s="15">
        <v>68069857</v>
      </c>
      <c r="I8" s="15">
        <v>114294369</v>
      </c>
      <c r="K8" s="10">
        <v>2024</v>
      </c>
      <c r="L8" s="15">
        <v>552033729</v>
      </c>
      <c r="M8">
        <f>INDEX(L8:L9,MATCH(2025,K8:K9,0))</f>
        <v>665135900</v>
      </c>
      <c r="O8" s="10" t="s">
        <v>10</v>
      </c>
      <c r="P8" s="6">
        <v>0.39687177759333153</v>
      </c>
      <c r="Q8" s="6">
        <v>0.59448402912387832</v>
      </c>
      <c r="R8" s="6">
        <v>0.48469944494024131</v>
      </c>
    </row>
    <row r="9" spans="1:22" x14ac:dyDescent="0.35">
      <c r="A9" s="10" t="s">
        <v>10</v>
      </c>
      <c r="B9" s="15">
        <v>81526406</v>
      </c>
      <c r="C9" s="15">
        <v>86971623</v>
      </c>
      <c r="D9" s="15">
        <v>168498029</v>
      </c>
      <c r="F9" s="10" t="s">
        <v>10</v>
      </c>
      <c r="G9" s="15">
        <v>55360689</v>
      </c>
      <c r="H9" s="15">
        <v>31328143</v>
      </c>
      <c r="I9" s="15">
        <v>86688832</v>
      </c>
      <c r="K9" s="10">
        <v>2025</v>
      </c>
      <c r="L9" s="15">
        <v>665135900</v>
      </c>
      <c r="M9" s="6">
        <f>(M8-M7)/M7</f>
        <v>0.20488271831665561</v>
      </c>
      <c r="O9" s="10" t="s">
        <v>47</v>
      </c>
      <c r="P9" s="6">
        <v>0.36210540543494019</v>
      </c>
      <c r="Q9" s="6">
        <v>0.51441155850499753</v>
      </c>
      <c r="R9" s="6">
        <v>0.43463214499211023</v>
      </c>
      <c r="T9" t="s">
        <v>332</v>
      </c>
      <c r="U9" t="s">
        <v>334</v>
      </c>
      <c r="V9" t="s">
        <v>335</v>
      </c>
    </row>
    <row r="10" spans="1:22" x14ac:dyDescent="0.35">
      <c r="A10" s="10" t="s">
        <v>47</v>
      </c>
      <c r="B10" s="15">
        <v>94418363</v>
      </c>
      <c r="C10" s="15">
        <v>113305960</v>
      </c>
      <c r="D10" s="15">
        <v>207724323</v>
      </c>
      <c r="F10" s="10" t="s">
        <v>47</v>
      </c>
      <c r="G10" s="15">
        <v>63650176</v>
      </c>
      <c r="H10" s="15">
        <v>39207813</v>
      </c>
      <c r="I10" s="15">
        <v>102857989</v>
      </c>
      <c r="K10" s="10" t="s">
        <v>331</v>
      </c>
      <c r="L10" s="15">
        <v>1217169629</v>
      </c>
      <c r="O10" s="10" t="s">
        <v>24</v>
      </c>
      <c r="P10" s="6">
        <v>0.42204426307227122</v>
      </c>
      <c r="Q10" s="6">
        <v>0.40655950492608484</v>
      </c>
      <c r="R10" s="6">
        <v>0.41275340818455941</v>
      </c>
      <c r="T10" s="15">
        <v>2416079602</v>
      </c>
      <c r="U10" s="15">
        <v>1217169629</v>
      </c>
      <c r="V10" s="15">
        <v>1198909973</v>
      </c>
    </row>
    <row r="11" spans="1:22" x14ac:dyDescent="0.35">
      <c r="A11" s="10" t="s">
        <v>24</v>
      </c>
      <c r="B11" s="15">
        <v>64639360</v>
      </c>
      <c r="C11" s="15">
        <v>128740732</v>
      </c>
      <c r="D11" s="15">
        <v>193380092</v>
      </c>
      <c r="F11" s="10" t="s">
        <v>24</v>
      </c>
      <c r="G11" s="15">
        <v>65277618</v>
      </c>
      <c r="H11" s="15">
        <v>29768288</v>
      </c>
      <c r="I11" s="15">
        <v>95045906</v>
      </c>
      <c r="O11" s="10" t="s">
        <v>7</v>
      </c>
      <c r="P11" s="6">
        <v>0.48469738522459849</v>
      </c>
      <c r="Q11" s="6">
        <v>0.40564492693790372</v>
      </c>
      <c r="R11" s="6">
        <v>0.44876444963973716</v>
      </c>
    </row>
    <row r="12" spans="1:22" x14ac:dyDescent="0.35">
      <c r="A12" s="10" t="s">
        <v>7</v>
      </c>
      <c r="B12" s="15">
        <v>184986693</v>
      </c>
      <c r="C12" s="15">
        <v>160191257</v>
      </c>
      <c r="D12" s="15">
        <v>345177950</v>
      </c>
      <c r="F12" s="10" t="s">
        <v>7</v>
      </c>
      <c r="G12" s="15">
        <v>74211653</v>
      </c>
      <c r="H12" s="15">
        <v>96239712</v>
      </c>
      <c r="I12" s="15">
        <v>170451365</v>
      </c>
      <c r="O12" s="10" t="s">
        <v>21</v>
      </c>
      <c r="P12" s="6">
        <v>0.38072027884900977</v>
      </c>
      <c r="Q12" s="6">
        <v>0.5089687936145697</v>
      </c>
      <c r="R12" s="6">
        <v>0.44179100016594314</v>
      </c>
    </row>
    <row r="13" spans="1:22" x14ac:dyDescent="0.35">
      <c r="A13" s="10" t="s">
        <v>21</v>
      </c>
      <c r="B13" s="15">
        <v>106871462</v>
      </c>
      <c r="C13" s="15">
        <v>101507100</v>
      </c>
      <c r="D13" s="15">
        <v>208378562</v>
      </c>
      <c r="F13" s="10" t="s">
        <v>21</v>
      </c>
      <c r="G13" s="15">
        <v>57354227</v>
      </c>
      <c r="H13" s="15">
        <v>46006650</v>
      </c>
      <c r="I13" s="15">
        <v>103360877</v>
      </c>
      <c r="O13" s="10" t="s">
        <v>38</v>
      </c>
      <c r="P13" s="6">
        <v>0.42560616217338726</v>
      </c>
      <c r="Q13" s="6">
        <v>0.58608581966797801</v>
      </c>
      <c r="R13" s="6">
        <v>0.51006913980211921</v>
      </c>
    </row>
    <row r="14" spans="1:22" x14ac:dyDescent="0.35">
      <c r="A14" s="10" t="s">
        <v>38</v>
      </c>
      <c r="B14" s="15">
        <v>78099926</v>
      </c>
      <c r="C14" s="15">
        <v>108339077</v>
      </c>
      <c r="D14" s="15">
        <v>186439003</v>
      </c>
      <c r="F14" s="10" t="s">
        <v>38</v>
      </c>
      <c r="G14" s="15">
        <v>68157167</v>
      </c>
      <c r="H14" s="15">
        <v>32082676</v>
      </c>
      <c r="I14" s="15">
        <v>100239843</v>
      </c>
      <c r="O14" s="10" t="s">
        <v>30</v>
      </c>
      <c r="P14" s="6">
        <v>0.41793539574788485</v>
      </c>
      <c r="Q14" s="6">
        <v>0.44116143016842474</v>
      </c>
      <c r="R14" s="6">
        <v>0.43245166726072232</v>
      </c>
    </row>
    <row r="15" spans="1:22" x14ac:dyDescent="0.35">
      <c r="A15" s="10" t="s">
        <v>30</v>
      </c>
      <c r="B15" s="15">
        <v>53996658</v>
      </c>
      <c r="C15" s="15">
        <v>88634333</v>
      </c>
      <c r="D15" s="15">
        <v>142630991</v>
      </c>
      <c r="F15" s="10" t="s">
        <v>30</v>
      </c>
      <c r="G15" s="15">
        <v>45430106</v>
      </c>
      <c r="H15" s="15">
        <v>23419955</v>
      </c>
      <c r="I15" s="15">
        <v>68850061</v>
      </c>
      <c r="O15" s="10" t="s">
        <v>33</v>
      </c>
      <c r="P15" s="6">
        <v>0.42499123292956981</v>
      </c>
      <c r="Q15" s="6">
        <v>0.47731388495774035</v>
      </c>
      <c r="R15" s="6">
        <v>0.45803711842104594</v>
      </c>
    </row>
    <row r="16" spans="1:22" x14ac:dyDescent="0.35">
      <c r="A16" s="10" t="s">
        <v>33</v>
      </c>
      <c r="B16" s="15">
        <v>66069843</v>
      </c>
      <c r="C16" s="15">
        <v>126759373</v>
      </c>
      <c r="D16" s="15">
        <v>192829216</v>
      </c>
      <c r="F16" s="10" t="s">
        <v>33</v>
      </c>
      <c r="G16" s="15">
        <v>64748045</v>
      </c>
      <c r="H16" s="15">
        <v>32307329</v>
      </c>
      <c r="I16" s="15">
        <v>97055374</v>
      </c>
      <c r="O16" s="10" t="s">
        <v>331</v>
      </c>
      <c r="P16" s="6">
        <v>0.42203078267749378</v>
      </c>
      <c r="Q16" s="6">
        <v>0.50033924635690963</v>
      </c>
      <c r="R16" s="6">
        <v>0.45976980131817641</v>
      </c>
    </row>
    <row r="17" spans="1:23" x14ac:dyDescent="0.35">
      <c r="A17" s="10" t="s">
        <v>331</v>
      </c>
      <c r="B17" s="15">
        <v>1194737216</v>
      </c>
      <c r="C17" s="15">
        <v>1221342386</v>
      </c>
      <c r="D17" s="15">
        <v>2416079602</v>
      </c>
      <c r="F17" s="10" t="s">
        <v>331</v>
      </c>
      <c r="G17" s="15">
        <v>665135900</v>
      </c>
      <c r="H17" s="15">
        <v>552033729</v>
      </c>
      <c r="I17" s="15">
        <v>1217169629</v>
      </c>
    </row>
    <row r="20" spans="1:23" x14ac:dyDescent="0.35">
      <c r="A20" s="9" t="s">
        <v>332</v>
      </c>
      <c r="B20" s="9" t="s">
        <v>333</v>
      </c>
      <c r="F20" s="9" t="s">
        <v>334</v>
      </c>
      <c r="G20" s="9" t="s">
        <v>333</v>
      </c>
      <c r="K20" s="9" t="s">
        <v>336</v>
      </c>
      <c r="L20" s="9" t="s">
        <v>333</v>
      </c>
      <c r="P20" s="9" t="s">
        <v>334</v>
      </c>
      <c r="Q20" s="9" t="s">
        <v>333</v>
      </c>
    </row>
    <row r="21" spans="1:23" x14ac:dyDescent="0.35">
      <c r="A21" s="9" t="s">
        <v>330</v>
      </c>
      <c r="B21">
        <v>2024</v>
      </c>
      <c r="C21">
        <v>2025</v>
      </c>
      <c r="D21" t="s">
        <v>331</v>
      </c>
      <c r="F21" s="9" t="s">
        <v>330</v>
      </c>
      <c r="G21">
        <v>2024</v>
      </c>
      <c r="H21">
        <v>2025</v>
      </c>
      <c r="I21" t="s">
        <v>331</v>
      </c>
      <c r="K21" s="9" t="s">
        <v>330</v>
      </c>
      <c r="L21">
        <v>2024</v>
      </c>
      <c r="M21">
        <v>2025</v>
      </c>
      <c r="N21" t="s">
        <v>331</v>
      </c>
      <c r="P21" s="9" t="s">
        <v>330</v>
      </c>
      <c r="Q21">
        <v>2024</v>
      </c>
      <c r="R21">
        <v>2025</v>
      </c>
      <c r="S21" t="s">
        <v>331</v>
      </c>
      <c r="U21" t="s">
        <v>334</v>
      </c>
      <c r="V21" t="s">
        <v>332</v>
      </c>
      <c r="W21" t="s">
        <v>335</v>
      </c>
    </row>
    <row r="22" spans="1:23" x14ac:dyDescent="0.35">
      <c r="A22" s="10" t="s">
        <v>325</v>
      </c>
      <c r="B22" s="14">
        <v>663550062</v>
      </c>
      <c r="C22" s="14">
        <v>871627450</v>
      </c>
      <c r="D22" s="14">
        <v>1535177512</v>
      </c>
      <c r="F22" s="10" t="s">
        <v>325</v>
      </c>
      <c r="G22" s="14">
        <v>348765103</v>
      </c>
      <c r="H22" s="14">
        <v>518425326</v>
      </c>
      <c r="I22" s="14">
        <v>867190429</v>
      </c>
      <c r="K22" s="10" t="s">
        <v>325</v>
      </c>
      <c r="L22" s="6">
        <v>0.48062236154314947</v>
      </c>
      <c r="M22" s="6">
        <v>0.54875937144513087</v>
      </c>
      <c r="N22" s="6">
        <v>0.51759593280779015</v>
      </c>
      <c r="P22" s="10" t="s">
        <v>342</v>
      </c>
      <c r="Q22" s="14">
        <v>153603306</v>
      </c>
      <c r="R22" s="14">
        <v>124721707</v>
      </c>
      <c r="S22" s="14">
        <v>278325013</v>
      </c>
      <c r="U22" s="14">
        <v>1217169629</v>
      </c>
      <c r="V22" s="14">
        <v>2416079602</v>
      </c>
      <c r="W22" s="14">
        <v>1198909973</v>
      </c>
    </row>
    <row r="23" spans="1:23" x14ac:dyDescent="0.35">
      <c r="A23" s="10" t="s">
        <v>11</v>
      </c>
      <c r="B23" s="14">
        <v>531187154</v>
      </c>
      <c r="C23" s="14">
        <v>349714936</v>
      </c>
      <c r="D23" s="14">
        <v>880902090</v>
      </c>
      <c r="F23" s="10" t="s">
        <v>11</v>
      </c>
      <c r="G23" s="14">
        <v>203268626</v>
      </c>
      <c r="H23" s="14">
        <v>146710574</v>
      </c>
      <c r="I23" s="14">
        <v>349979200</v>
      </c>
      <c r="K23" s="10" t="s">
        <v>11</v>
      </c>
      <c r="L23" s="6">
        <v>0.37264645191929868</v>
      </c>
      <c r="M23" s="6">
        <v>0.43255107123340059</v>
      </c>
      <c r="N23" s="6">
        <v>0.39760670996684105</v>
      </c>
      <c r="P23" s="10" t="s">
        <v>343</v>
      </c>
      <c r="Q23" s="14">
        <v>138605813</v>
      </c>
      <c r="R23" s="14">
        <v>165235377</v>
      </c>
      <c r="S23" s="14">
        <v>303841190</v>
      </c>
      <c r="U23" t="s">
        <v>347</v>
      </c>
      <c r="V23" t="s">
        <v>338</v>
      </c>
    </row>
    <row r="24" spans="1:23" x14ac:dyDescent="0.35">
      <c r="A24" s="10" t="s">
        <v>331</v>
      </c>
      <c r="B24" s="14">
        <v>1194737216</v>
      </c>
      <c r="C24" s="14">
        <v>1221342386</v>
      </c>
      <c r="D24" s="14">
        <v>2416079602</v>
      </c>
      <c r="F24" s="10" t="s">
        <v>331</v>
      </c>
      <c r="G24" s="14">
        <v>552033729</v>
      </c>
      <c r="H24" s="14">
        <v>665135900</v>
      </c>
      <c r="I24" s="14">
        <v>1217169629</v>
      </c>
      <c r="K24" s="10" t="s">
        <v>331</v>
      </c>
      <c r="L24" s="6">
        <v>0.42203078267749378</v>
      </c>
      <c r="M24" s="6">
        <v>0.50033924635690974</v>
      </c>
      <c r="N24" s="6">
        <v>0.45976980131817613</v>
      </c>
      <c r="P24" s="10" t="s">
        <v>344</v>
      </c>
      <c r="Q24" s="14">
        <v>172014650</v>
      </c>
      <c r="R24" s="14">
        <v>196843498</v>
      </c>
      <c r="S24" s="14">
        <v>368858148</v>
      </c>
      <c r="U24" t="s">
        <v>339</v>
      </c>
      <c r="V24" s="14">
        <f>INDEX($U$22:$W$22,1,MATCH("Sum of Revenue",$U$21:$W$21,0))</f>
        <v>2416079602</v>
      </c>
    </row>
    <row r="25" spans="1:23" x14ac:dyDescent="0.35">
      <c r="P25" s="10" t="s">
        <v>345</v>
      </c>
      <c r="Q25" s="14">
        <v>87809960</v>
      </c>
      <c r="R25" s="14">
        <v>178335318</v>
      </c>
      <c r="S25" s="14">
        <v>266145278</v>
      </c>
      <c r="U25" t="s">
        <v>340</v>
      </c>
      <c r="V25" s="14">
        <f>INDEX($U$22:$W$22,1,MATCH("Sum of Expenses",$U$21:$W$21,0))</f>
        <v>1198909973</v>
      </c>
    </row>
    <row r="26" spans="1:23" x14ac:dyDescent="0.35">
      <c r="B26" t="str">
        <f>INDEX($A$22:$A$23,MATCH(MAX(INDEX($B$22:$D$23,0,MATCH("Grand Total",$B$21:$D$21,0))),INDEX($B$22:$D$23,0,MATCH("Grand Total",$B$21:$D$21,0)),0))</f>
        <v>Zen T-Shirt</v>
      </c>
      <c r="G26" t="str">
        <f>INDEX($F$22:$F$23,MATCH(MAX(INDEX($G$22:$I$23,0,MATCH("Grand Total",$G$21:$I$21,0))),INDEX($G$22:$I$23,0,MATCH("Grand Total",$G$21:$I$21,0)),0))</f>
        <v>Zen T-Shirt</v>
      </c>
      <c r="P26" s="10" t="s">
        <v>331</v>
      </c>
      <c r="Q26" s="14">
        <v>552033729</v>
      </c>
      <c r="R26" s="14">
        <v>665135900</v>
      </c>
      <c r="S26" s="14">
        <v>1217169629</v>
      </c>
      <c r="U26" t="s">
        <v>341</v>
      </c>
      <c r="V26" s="14">
        <f>INDEX($U$22:$W$22,1,MATCH("Sum of Profit",$U$21:$W$21,0))</f>
        <v>1217169629</v>
      </c>
    </row>
    <row r="27" spans="1:23" x14ac:dyDescent="0.35">
      <c r="U27" t="s">
        <v>328</v>
      </c>
      <c r="V27" s="6">
        <f>V26/V24</f>
        <v>0.50377877781528491</v>
      </c>
    </row>
    <row r="28" spans="1:23" x14ac:dyDescent="0.35">
      <c r="C28" s="9" t="s">
        <v>335</v>
      </c>
      <c r="D28" s="9" t="s">
        <v>333</v>
      </c>
      <c r="K28" s="17">
        <v>642703487</v>
      </c>
      <c r="U28" t="s">
        <v>346</v>
      </c>
      <c r="V28" s="6">
        <f>V25/V24</f>
        <v>0.49622122218471509</v>
      </c>
    </row>
    <row r="29" spans="1:23" x14ac:dyDescent="0.35">
      <c r="C29" s="9" t="s">
        <v>330</v>
      </c>
      <c r="D29">
        <v>2024</v>
      </c>
      <c r="E29">
        <v>2025</v>
      </c>
      <c r="F29" t="s">
        <v>331</v>
      </c>
      <c r="K29" s="17">
        <v>556206486</v>
      </c>
    </row>
    <row r="30" spans="1:23" x14ac:dyDescent="0.35">
      <c r="C30" s="10" t="s">
        <v>11</v>
      </c>
      <c r="D30" s="14">
        <v>327918528</v>
      </c>
      <c r="E30" s="14">
        <v>203004362</v>
      </c>
      <c r="F30" s="14">
        <v>530922890</v>
      </c>
      <c r="M30" s="6">
        <f>(K29-K28)/K28</f>
        <v>-0.13458305851699853</v>
      </c>
    </row>
    <row r="31" spans="1:23" x14ac:dyDescent="0.35">
      <c r="C31" s="10" t="s">
        <v>325</v>
      </c>
      <c r="D31" s="14">
        <v>314784959</v>
      </c>
      <c r="E31" s="14">
        <v>353202124</v>
      </c>
      <c r="F31" s="14">
        <v>667987083</v>
      </c>
    </row>
    <row r="32" spans="1:23" x14ac:dyDescent="0.35">
      <c r="C32" s="10" t="s">
        <v>331</v>
      </c>
      <c r="D32" s="14">
        <v>642703487</v>
      </c>
      <c r="E32" s="14">
        <v>556206486</v>
      </c>
      <c r="F32" s="14">
        <v>1198909973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9AD7B-6442-4C99-AE52-67926617968E}">
  <dimension ref="A1:S70"/>
  <sheetViews>
    <sheetView showGridLines="0" zoomScaleNormal="100" workbookViewId="0">
      <selection activeCell="R18" sqref="R18"/>
    </sheetView>
  </sheetViews>
  <sheetFormatPr defaultRowHeight="14.5" x14ac:dyDescent="0.35"/>
  <cols>
    <col min="1" max="1" width="11.81640625" customWidth="1"/>
    <col min="14" max="14" width="12.08984375" customWidth="1"/>
    <col min="15" max="15" width="10.453125" customWidth="1"/>
    <col min="16" max="16" width="10.81640625" customWidth="1"/>
    <col min="17" max="17" width="10.1796875" customWidth="1"/>
    <col min="18" max="18" width="10.453125" customWidth="1"/>
  </cols>
  <sheetData>
    <row r="1" spans="1:19" x14ac:dyDescent="0.35">
      <c r="A1" s="12"/>
      <c r="B1" s="12"/>
      <c r="C1" s="12"/>
      <c r="D1" s="12"/>
      <c r="E1" s="12"/>
      <c r="F1" s="12"/>
      <c r="G1" s="12"/>
      <c r="H1" s="12"/>
      <c r="I1" s="12"/>
      <c r="J1" s="12"/>
      <c r="K1" s="12"/>
      <c r="L1" s="12"/>
      <c r="M1" s="12"/>
      <c r="N1" s="12"/>
      <c r="O1" s="12"/>
      <c r="P1" s="12"/>
      <c r="Q1" s="12"/>
      <c r="R1" s="12"/>
      <c r="S1" s="12"/>
    </row>
    <row r="2" spans="1:19" x14ac:dyDescent="0.35">
      <c r="A2" s="12"/>
      <c r="B2" s="12"/>
      <c r="C2" s="12"/>
      <c r="D2" s="12"/>
      <c r="E2" s="12"/>
      <c r="F2" s="12"/>
      <c r="G2" s="12"/>
      <c r="H2" s="12"/>
      <c r="I2" s="12"/>
      <c r="J2" s="12"/>
      <c r="K2" s="12"/>
      <c r="L2" s="12"/>
      <c r="M2" s="12"/>
      <c r="N2" s="12"/>
      <c r="O2" s="12"/>
      <c r="P2" s="12"/>
      <c r="Q2" s="12"/>
      <c r="R2" s="12"/>
      <c r="S2" s="12"/>
    </row>
    <row r="3" spans="1:19" x14ac:dyDescent="0.35">
      <c r="A3" s="12"/>
      <c r="B3" s="12"/>
      <c r="C3" s="12"/>
      <c r="D3" s="12"/>
      <c r="E3" s="12"/>
      <c r="F3" s="12"/>
      <c r="G3" s="12"/>
      <c r="H3" s="12"/>
      <c r="I3" s="12"/>
      <c r="J3" s="12"/>
      <c r="K3" s="12"/>
      <c r="L3" s="12"/>
      <c r="M3" s="12"/>
      <c r="N3" s="12"/>
      <c r="O3" s="12"/>
      <c r="P3" s="12"/>
      <c r="Q3" s="12"/>
      <c r="R3" s="12"/>
      <c r="S3" s="12"/>
    </row>
    <row r="4" spans="1:19" x14ac:dyDescent="0.35">
      <c r="A4" s="12"/>
      <c r="B4" s="12"/>
      <c r="C4" s="12"/>
      <c r="D4" s="12"/>
      <c r="E4" s="12"/>
      <c r="F4" s="12"/>
      <c r="G4" s="12"/>
      <c r="H4" s="12"/>
      <c r="I4" s="12"/>
      <c r="J4" s="12"/>
      <c r="K4" s="12"/>
      <c r="L4" s="12"/>
      <c r="M4" s="12"/>
      <c r="N4" s="12"/>
      <c r="O4" s="12"/>
      <c r="P4" s="12"/>
      <c r="Q4" s="12"/>
      <c r="R4" s="12"/>
      <c r="S4" s="12"/>
    </row>
    <row r="5" spans="1:19" x14ac:dyDescent="0.35">
      <c r="A5" s="12"/>
      <c r="B5" s="12"/>
      <c r="C5" s="12"/>
      <c r="D5" s="12"/>
      <c r="E5" s="12"/>
      <c r="F5" s="12"/>
      <c r="G5" s="12"/>
      <c r="H5" s="12"/>
      <c r="I5" s="12"/>
      <c r="J5" s="12"/>
      <c r="K5" s="12"/>
      <c r="L5" s="12"/>
      <c r="M5" s="12"/>
      <c r="N5" s="12"/>
      <c r="O5" s="12"/>
      <c r="P5" s="12"/>
      <c r="Q5" s="12"/>
      <c r="R5" s="12"/>
      <c r="S5" s="12"/>
    </row>
    <row r="6" spans="1:19" x14ac:dyDescent="0.35">
      <c r="A6" s="12"/>
      <c r="B6" s="12"/>
      <c r="C6" s="12"/>
      <c r="D6" s="12"/>
      <c r="E6" s="12"/>
      <c r="F6" s="12"/>
      <c r="G6" s="12"/>
      <c r="H6" s="12"/>
      <c r="I6" s="12"/>
      <c r="J6" s="12"/>
      <c r="K6" s="12"/>
      <c r="L6" s="12"/>
      <c r="M6" s="12"/>
      <c r="N6" s="12"/>
      <c r="O6" s="12"/>
      <c r="P6" s="12"/>
      <c r="Q6" s="12"/>
      <c r="R6" s="12"/>
      <c r="S6" s="12"/>
    </row>
    <row r="7" spans="1:19" x14ac:dyDescent="0.35">
      <c r="A7" s="12"/>
      <c r="B7" s="12"/>
      <c r="C7" s="12"/>
      <c r="D7" s="12"/>
      <c r="E7" s="12"/>
      <c r="F7" s="12"/>
      <c r="G7" s="12"/>
      <c r="H7" s="12"/>
      <c r="I7" s="12"/>
      <c r="J7" s="12"/>
      <c r="K7" s="12"/>
      <c r="L7" s="12"/>
      <c r="M7" s="12"/>
      <c r="N7" s="12"/>
      <c r="O7" s="12"/>
      <c r="P7" s="12"/>
      <c r="Q7" s="12"/>
      <c r="R7" s="12"/>
      <c r="S7" s="12"/>
    </row>
    <row r="8" spans="1:19" x14ac:dyDescent="0.35">
      <c r="A8" s="12"/>
      <c r="B8" s="12"/>
      <c r="C8" s="12"/>
      <c r="D8" s="12"/>
      <c r="E8" s="12"/>
      <c r="F8" s="12"/>
      <c r="G8" s="12"/>
      <c r="H8" s="12"/>
      <c r="I8" s="12"/>
      <c r="J8" s="12"/>
      <c r="K8" s="12"/>
      <c r="L8" s="12"/>
      <c r="M8" s="12"/>
      <c r="N8" s="12"/>
      <c r="O8" s="12"/>
      <c r="P8" s="12"/>
      <c r="Q8" s="12"/>
      <c r="R8" s="12"/>
      <c r="S8" s="12"/>
    </row>
    <row r="9" spans="1:19" x14ac:dyDescent="0.35">
      <c r="A9" s="12"/>
      <c r="B9" s="12"/>
      <c r="C9" s="12"/>
      <c r="D9" s="12"/>
      <c r="E9" s="12"/>
      <c r="F9" s="12"/>
      <c r="G9" s="12"/>
      <c r="H9" s="12"/>
      <c r="I9" s="12"/>
      <c r="J9" s="12"/>
      <c r="K9" s="12"/>
      <c r="L9" s="12"/>
      <c r="M9" s="12"/>
      <c r="N9" s="12"/>
      <c r="O9" s="12"/>
      <c r="P9" s="12"/>
      <c r="Q9" s="12"/>
      <c r="R9" s="12"/>
      <c r="S9" s="12"/>
    </row>
    <row r="10" spans="1:19" x14ac:dyDescent="0.35">
      <c r="A10" s="12"/>
      <c r="B10" s="12"/>
      <c r="C10" s="12"/>
      <c r="D10" s="12"/>
      <c r="E10" s="12"/>
      <c r="F10" s="12"/>
      <c r="G10" s="12"/>
      <c r="H10" s="12"/>
      <c r="I10" s="12"/>
      <c r="J10" s="12"/>
      <c r="K10" s="12"/>
      <c r="L10" s="12"/>
      <c r="M10" s="12"/>
      <c r="N10" s="12"/>
      <c r="O10" s="12"/>
      <c r="P10" s="12"/>
      <c r="Q10" s="12"/>
      <c r="R10" s="12"/>
      <c r="S10" s="12"/>
    </row>
    <row r="11" spans="1:19" x14ac:dyDescent="0.35">
      <c r="A11" s="12"/>
      <c r="B11" s="12"/>
      <c r="C11" s="12"/>
      <c r="D11" s="12"/>
      <c r="E11" s="12"/>
      <c r="F11" s="12"/>
      <c r="G11" s="12"/>
      <c r="H11" s="12"/>
      <c r="I11" s="12"/>
      <c r="J11" s="12"/>
      <c r="K11" s="12"/>
      <c r="L11" s="12"/>
      <c r="M11" s="12"/>
      <c r="N11" s="12"/>
      <c r="O11" s="12"/>
      <c r="P11" s="12"/>
      <c r="Q11" s="12"/>
      <c r="R11" s="12"/>
      <c r="S11" s="12"/>
    </row>
    <row r="12" spans="1:19" x14ac:dyDescent="0.35">
      <c r="A12" s="12"/>
      <c r="B12" s="12"/>
      <c r="C12" s="12"/>
      <c r="D12" s="12"/>
      <c r="E12" s="12"/>
      <c r="F12" s="12"/>
      <c r="G12" s="12"/>
      <c r="H12" s="12"/>
      <c r="I12" s="12"/>
      <c r="J12" s="12"/>
      <c r="K12" s="12"/>
      <c r="L12" s="12"/>
      <c r="M12" s="12"/>
      <c r="N12" s="12"/>
      <c r="O12" s="12"/>
      <c r="P12" s="12"/>
      <c r="Q12" s="12"/>
      <c r="R12" s="12"/>
      <c r="S12" s="12"/>
    </row>
    <row r="13" spans="1:19" x14ac:dyDescent="0.35">
      <c r="A13" s="12"/>
      <c r="B13" s="12"/>
      <c r="C13" s="12"/>
      <c r="D13" s="12"/>
      <c r="E13" s="12"/>
      <c r="F13" s="12"/>
      <c r="G13" s="12"/>
      <c r="H13" s="12"/>
      <c r="I13" s="12"/>
      <c r="J13" s="12"/>
      <c r="K13" s="12"/>
      <c r="L13" s="12"/>
      <c r="M13" s="12"/>
      <c r="N13" s="12"/>
      <c r="O13" s="12"/>
      <c r="P13" s="12"/>
      <c r="Q13" s="12"/>
      <c r="R13" s="12"/>
      <c r="S13" s="12"/>
    </row>
    <row r="14" spans="1:19" x14ac:dyDescent="0.35">
      <c r="A14" s="12"/>
      <c r="B14" s="12"/>
      <c r="C14" s="12"/>
      <c r="D14" s="12"/>
      <c r="E14" s="12"/>
      <c r="F14" s="12"/>
      <c r="G14" s="12"/>
      <c r="H14" s="12"/>
      <c r="I14" s="12"/>
      <c r="J14" s="12"/>
      <c r="K14" s="12"/>
      <c r="L14" s="12"/>
      <c r="M14" s="12"/>
      <c r="N14" s="12"/>
      <c r="O14" s="12"/>
      <c r="P14" s="12"/>
      <c r="Q14" s="12"/>
      <c r="R14" s="12"/>
      <c r="S14" s="12"/>
    </row>
    <row r="15" spans="1:19" x14ac:dyDescent="0.35">
      <c r="A15" s="12"/>
      <c r="B15" s="12"/>
      <c r="C15" s="12"/>
      <c r="D15" s="12"/>
      <c r="E15" s="12"/>
      <c r="F15" s="12"/>
      <c r="G15" s="12"/>
      <c r="H15" s="12"/>
      <c r="I15" s="12"/>
      <c r="J15" s="12"/>
      <c r="K15" s="12"/>
      <c r="L15" s="12"/>
      <c r="M15" s="12"/>
      <c r="N15" s="12"/>
      <c r="O15" s="12"/>
      <c r="P15" s="12"/>
      <c r="Q15" s="12"/>
      <c r="R15" s="12"/>
      <c r="S15" s="12"/>
    </row>
    <row r="16" spans="1:19" x14ac:dyDescent="0.35">
      <c r="A16" s="12"/>
      <c r="B16" s="12"/>
      <c r="C16" s="12"/>
      <c r="D16" s="12"/>
      <c r="E16" s="12"/>
      <c r="F16" s="12"/>
      <c r="G16" s="12"/>
      <c r="H16" s="12"/>
      <c r="I16" s="12"/>
      <c r="J16" s="12"/>
      <c r="K16" s="12"/>
      <c r="L16" s="12"/>
      <c r="M16" s="12"/>
      <c r="N16" s="12"/>
      <c r="O16" s="12"/>
      <c r="P16" s="12"/>
      <c r="Q16" s="12"/>
      <c r="R16" s="12"/>
      <c r="S16" s="12"/>
    </row>
    <row r="17" spans="1:19" x14ac:dyDescent="0.35">
      <c r="A17" s="12"/>
      <c r="B17" s="12"/>
      <c r="C17" s="12"/>
      <c r="D17" s="12"/>
      <c r="E17" s="12"/>
      <c r="F17" s="12"/>
      <c r="G17" s="12"/>
      <c r="H17" s="12"/>
      <c r="I17" s="12"/>
      <c r="J17" s="12"/>
      <c r="K17" s="12"/>
      <c r="L17" s="12"/>
      <c r="M17" s="12"/>
      <c r="N17" s="12"/>
      <c r="O17" s="12"/>
      <c r="P17" s="12"/>
      <c r="Q17" s="12"/>
      <c r="R17" s="12"/>
      <c r="S17" s="12"/>
    </row>
    <row r="18" spans="1:19" x14ac:dyDescent="0.35">
      <c r="A18" s="12"/>
      <c r="B18" s="12"/>
      <c r="C18" s="12"/>
      <c r="D18" s="12"/>
      <c r="E18" s="12"/>
      <c r="F18" s="12"/>
      <c r="G18" s="12"/>
      <c r="H18" s="12"/>
      <c r="I18" s="12"/>
      <c r="J18" s="12"/>
      <c r="K18" s="12"/>
      <c r="L18" s="12"/>
      <c r="M18" s="12"/>
      <c r="N18" s="12"/>
      <c r="O18" s="12"/>
      <c r="P18" s="12"/>
      <c r="Q18" s="12"/>
      <c r="R18" s="12"/>
      <c r="S18" s="12"/>
    </row>
    <row r="19" spans="1:19" x14ac:dyDescent="0.35">
      <c r="A19" s="12"/>
      <c r="B19" s="12"/>
      <c r="C19" s="12"/>
      <c r="D19" s="12"/>
      <c r="E19" s="12"/>
      <c r="F19" s="12"/>
      <c r="G19" s="12"/>
      <c r="H19" s="12"/>
      <c r="I19" s="12"/>
      <c r="J19" s="12"/>
      <c r="K19" s="12"/>
      <c r="L19" s="12"/>
      <c r="M19" s="12"/>
      <c r="N19" s="12"/>
      <c r="O19" s="12"/>
      <c r="P19" s="12"/>
      <c r="Q19" s="12"/>
      <c r="R19" s="12"/>
      <c r="S19" s="12"/>
    </row>
    <row r="20" spans="1:19" x14ac:dyDescent="0.35">
      <c r="A20" s="12"/>
      <c r="B20" s="12"/>
      <c r="C20" s="12"/>
      <c r="D20" s="12"/>
      <c r="E20" s="12"/>
      <c r="F20" s="12"/>
      <c r="G20" s="12"/>
      <c r="H20" s="12"/>
      <c r="I20" s="12"/>
      <c r="J20" s="12"/>
      <c r="K20" s="12"/>
      <c r="L20" s="12"/>
      <c r="M20" s="12"/>
      <c r="N20" s="12"/>
      <c r="O20" s="12"/>
      <c r="P20" s="12"/>
      <c r="Q20" s="12"/>
      <c r="R20" s="12"/>
      <c r="S20" s="12"/>
    </row>
    <row r="21" spans="1:19" x14ac:dyDescent="0.35">
      <c r="A21" s="12"/>
      <c r="B21" s="12"/>
      <c r="C21" s="12"/>
      <c r="D21" s="12"/>
      <c r="E21" s="12"/>
      <c r="F21" s="12"/>
      <c r="G21" s="12"/>
      <c r="H21" s="12"/>
      <c r="I21" s="12"/>
      <c r="J21" s="12"/>
      <c r="K21" s="12"/>
      <c r="L21" s="12"/>
      <c r="M21" s="12"/>
      <c r="N21" s="12"/>
      <c r="O21" s="12"/>
      <c r="P21" s="12"/>
      <c r="Q21" s="12"/>
      <c r="R21" s="12"/>
      <c r="S21" s="12"/>
    </row>
    <row r="22" spans="1:19" x14ac:dyDescent="0.35">
      <c r="A22" s="12"/>
      <c r="B22" s="12"/>
      <c r="C22" s="12"/>
      <c r="D22" s="12"/>
      <c r="E22" s="12"/>
      <c r="F22" s="12"/>
      <c r="G22" s="12"/>
      <c r="H22" s="12"/>
      <c r="I22" s="12"/>
      <c r="J22" s="12"/>
      <c r="K22" s="12"/>
      <c r="L22" s="12"/>
      <c r="M22" s="12"/>
      <c r="N22" s="12"/>
      <c r="O22" s="12"/>
      <c r="P22" s="12"/>
      <c r="Q22" s="12"/>
      <c r="R22" s="12"/>
      <c r="S22" s="12"/>
    </row>
    <row r="23" spans="1:19" x14ac:dyDescent="0.35">
      <c r="A23" s="12"/>
      <c r="B23" s="12"/>
      <c r="C23" s="12"/>
      <c r="D23" s="12"/>
      <c r="E23" s="12"/>
      <c r="F23" s="12"/>
      <c r="G23" s="12"/>
      <c r="H23" s="12"/>
      <c r="I23" s="12"/>
      <c r="J23" s="12"/>
      <c r="K23" s="12"/>
      <c r="L23" s="12"/>
      <c r="M23" s="12"/>
      <c r="N23" s="12"/>
      <c r="O23" s="12"/>
      <c r="P23" s="12"/>
      <c r="Q23" s="12"/>
      <c r="R23" s="12"/>
      <c r="S23" s="12"/>
    </row>
    <row r="24" spans="1:19" x14ac:dyDescent="0.35">
      <c r="A24" s="12"/>
      <c r="B24" s="12"/>
      <c r="C24" s="12"/>
      <c r="D24" s="12"/>
      <c r="E24" s="12"/>
      <c r="F24" s="12"/>
      <c r="G24" s="12"/>
      <c r="H24" s="12"/>
      <c r="I24" s="12"/>
      <c r="J24" s="12"/>
      <c r="K24" s="12"/>
      <c r="L24" s="12"/>
      <c r="M24" s="12"/>
      <c r="N24" s="12"/>
      <c r="O24" s="12"/>
      <c r="P24" s="12"/>
      <c r="Q24" s="12"/>
      <c r="R24" s="12"/>
      <c r="S24" s="12"/>
    </row>
    <row r="25" spans="1:19" x14ac:dyDescent="0.35">
      <c r="A25" s="12"/>
      <c r="B25" s="12"/>
      <c r="C25" s="12"/>
      <c r="D25" s="12"/>
      <c r="E25" s="12"/>
      <c r="F25" s="12"/>
      <c r="G25" s="12"/>
      <c r="H25" s="12"/>
      <c r="I25" s="12"/>
      <c r="J25" s="12"/>
      <c r="K25" s="12"/>
      <c r="L25" s="12"/>
      <c r="M25" s="12"/>
      <c r="N25" s="12"/>
      <c r="O25" s="12"/>
      <c r="P25" s="12"/>
      <c r="Q25" s="12"/>
      <c r="R25" s="12"/>
      <c r="S25" s="12"/>
    </row>
    <row r="26" spans="1:19" x14ac:dyDescent="0.35">
      <c r="A26" s="12"/>
      <c r="B26" s="12"/>
      <c r="C26" s="12"/>
      <c r="D26" s="12"/>
      <c r="E26" s="12"/>
      <c r="F26" s="12"/>
      <c r="G26" s="12"/>
      <c r="H26" s="12"/>
      <c r="I26" s="12"/>
      <c r="J26" s="12"/>
      <c r="K26" s="12"/>
      <c r="L26" s="12"/>
      <c r="M26" s="12"/>
      <c r="N26" s="12"/>
      <c r="O26" s="12"/>
      <c r="P26" s="12"/>
      <c r="Q26" s="12"/>
      <c r="R26" s="12"/>
      <c r="S26" s="12"/>
    </row>
    <row r="27" spans="1:19" x14ac:dyDescent="0.35">
      <c r="A27" s="12"/>
      <c r="B27" s="12"/>
      <c r="C27" s="12"/>
      <c r="D27" s="12"/>
      <c r="E27" s="12"/>
      <c r="F27" s="12"/>
      <c r="G27" s="12"/>
      <c r="H27" s="12"/>
      <c r="I27" s="12"/>
      <c r="J27" s="12"/>
      <c r="K27" s="12"/>
      <c r="L27" s="12"/>
      <c r="M27" s="12"/>
      <c r="N27" s="12"/>
      <c r="O27" s="12"/>
      <c r="P27" s="12"/>
      <c r="Q27" s="12"/>
      <c r="R27" s="12"/>
      <c r="S27" s="12"/>
    </row>
    <row r="28" spans="1:19" x14ac:dyDescent="0.35">
      <c r="A28" s="12"/>
      <c r="B28" s="12"/>
      <c r="C28" s="12"/>
      <c r="D28" s="12"/>
      <c r="E28" s="12"/>
      <c r="F28" s="12"/>
      <c r="G28" s="12"/>
      <c r="H28" s="12"/>
      <c r="I28" s="12"/>
      <c r="J28" s="12"/>
      <c r="K28" s="12"/>
      <c r="L28" s="12"/>
      <c r="M28" s="12"/>
      <c r="N28" s="12"/>
      <c r="O28" s="12"/>
      <c r="P28" s="12"/>
      <c r="Q28" s="12"/>
      <c r="R28" s="12"/>
      <c r="S28" s="12"/>
    </row>
    <row r="29" spans="1:19" x14ac:dyDescent="0.35">
      <c r="A29" s="12"/>
      <c r="B29" s="12"/>
      <c r="C29" s="12"/>
      <c r="D29" s="12"/>
      <c r="E29" s="12"/>
      <c r="F29" s="12"/>
      <c r="G29" s="12"/>
      <c r="H29" s="12"/>
      <c r="I29" s="12"/>
      <c r="J29" s="12"/>
      <c r="K29" s="12"/>
      <c r="L29" s="12"/>
      <c r="M29" s="12"/>
      <c r="N29" s="12"/>
      <c r="O29" s="12"/>
      <c r="P29" s="12"/>
      <c r="Q29" s="12"/>
      <c r="R29" s="12"/>
      <c r="S29" s="12"/>
    </row>
    <row r="30" spans="1:19" x14ac:dyDescent="0.35">
      <c r="A30" s="12"/>
      <c r="B30" s="12"/>
      <c r="C30" s="12"/>
      <c r="D30" s="12"/>
      <c r="E30" s="12"/>
      <c r="F30" s="12"/>
      <c r="G30" s="12"/>
      <c r="H30" s="12"/>
      <c r="I30" s="12"/>
      <c r="J30" s="12"/>
      <c r="K30" s="12"/>
      <c r="L30" s="12"/>
      <c r="M30" s="12"/>
      <c r="N30" s="12"/>
      <c r="O30" s="12"/>
      <c r="P30" s="12"/>
      <c r="Q30" s="12"/>
      <c r="R30" s="12"/>
      <c r="S30" s="12"/>
    </row>
    <row r="31" spans="1:19" x14ac:dyDescent="0.35">
      <c r="A31" s="12"/>
      <c r="B31" s="12"/>
      <c r="C31" s="12"/>
      <c r="D31" s="12"/>
      <c r="E31" s="12"/>
      <c r="F31" s="12"/>
      <c r="G31" s="12"/>
      <c r="H31" s="12"/>
      <c r="I31" s="12"/>
      <c r="J31" s="12"/>
      <c r="K31" s="12"/>
      <c r="L31" s="12"/>
      <c r="M31" s="12"/>
      <c r="N31" s="12"/>
      <c r="O31" s="12"/>
      <c r="P31" s="12"/>
      <c r="Q31" s="12"/>
      <c r="R31" s="12"/>
      <c r="S31" s="12"/>
    </row>
    <row r="32" spans="1:19" x14ac:dyDescent="0.35">
      <c r="A32" s="12"/>
      <c r="B32" s="12"/>
      <c r="C32" s="12"/>
      <c r="D32" s="12"/>
      <c r="E32" s="12"/>
      <c r="F32" s="12"/>
      <c r="G32" s="12"/>
      <c r="H32" s="12"/>
      <c r="I32" s="12"/>
      <c r="J32" s="12"/>
      <c r="K32" s="12"/>
      <c r="L32" s="12"/>
      <c r="M32" s="12"/>
      <c r="N32" s="12"/>
      <c r="O32" s="12"/>
      <c r="P32" s="12"/>
      <c r="Q32" s="12"/>
      <c r="R32" s="12"/>
      <c r="S32" s="12"/>
    </row>
    <row r="33" spans="1:19" x14ac:dyDescent="0.35">
      <c r="A33" s="12"/>
      <c r="B33" s="12"/>
      <c r="C33" s="12"/>
      <c r="D33" s="12"/>
      <c r="E33" s="12"/>
      <c r="F33" s="12"/>
      <c r="G33" s="12"/>
      <c r="H33" s="12"/>
      <c r="I33" s="12"/>
      <c r="J33" s="12"/>
      <c r="K33" s="12"/>
      <c r="L33" s="12"/>
      <c r="M33" s="12"/>
      <c r="N33" s="12"/>
      <c r="O33" s="12"/>
      <c r="P33" s="12"/>
      <c r="Q33" s="12"/>
      <c r="R33" s="12"/>
      <c r="S33" s="12"/>
    </row>
    <row r="34" spans="1:19" x14ac:dyDescent="0.35">
      <c r="A34" s="12"/>
      <c r="B34" s="12"/>
      <c r="C34" s="12"/>
      <c r="D34" s="12"/>
      <c r="E34" s="12"/>
      <c r="F34" s="12"/>
      <c r="G34" s="12"/>
      <c r="H34" s="12"/>
      <c r="I34" s="12"/>
      <c r="J34" s="12"/>
      <c r="K34" s="12"/>
      <c r="L34" s="12"/>
      <c r="M34" s="12"/>
      <c r="N34" s="12"/>
      <c r="O34" s="12"/>
      <c r="P34" s="12"/>
      <c r="Q34" s="12"/>
      <c r="R34" s="12"/>
      <c r="S34" s="12"/>
    </row>
    <row r="35" spans="1:19" x14ac:dyDescent="0.35">
      <c r="A35" s="12"/>
      <c r="B35" s="12"/>
      <c r="C35" s="12"/>
      <c r="D35" s="12"/>
      <c r="E35" s="12"/>
      <c r="F35" s="12"/>
      <c r="G35" s="12"/>
      <c r="H35" s="12"/>
      <c r="I35" s="12"/>
      <c r="J35" s="12"/>
      <c r="K35" s="12"/>
      <c r="L35" s="12"/>
      <c r="M35" s="12"/>
      <c r="N35" s="12"/>
      <c r="O35" s="12"/>
      <c r="P35" s="12"/>
      <c r="Q35" s="12"/>
      <c r="R35" s="12"/>
      <c r="S35" s="12"/>
    </row>
    <row r="36" spans="1:19" x14ac:dyDescent="0.35">
      <c r="A36" s="12"/>
      <c r="B36" s="12"/>
      <c r="C36" s="12"/>
      <c r="D36" s="12"/>
      <c r="E36" s="12"/>
      <c r="F36" s="12"/>
      <c r="G36" s="12"/>
      <c r="H36" s="12"/>
      <c r="I36" s="12"/>
      <c r="J36" s="12"/>
      <c r="K36" s="12"/>
      <c r="L36" s="12"/>
      <c r="M36" s="12"/>
      <c r="N36" s="12"/>
      <c r="O36" s="12"/>
      <c r="P36" s="12"/>
      <c r="Q36" s="12"/>
      <c r="R36" s="12"/>
      <c r="S36" s="12"/>
    </row>
    <row r="37" spans="1:19" x14ac:dyDescent="0.35">
      <c r="A37" s="12"/>
      <c r="B37" s="12"/>
      <c r="C37" s="12"/>
      <c r="D37" s="12"/>
      <c r="E37" s="12"/>
      <c r="F37" s="12"/>
      <c r="G37" s="12"/>
      <c r="H37" s="12"/>
      <c r="I37" s="12"/>
      <c r="J37" s="12"/>
      <c r="K37" s="12"/>
      <c r="L37" s="12"/>
      <c r="M37" s="12"/>
      <c r="N37" s="12"/>
      <c r="O37" s="12"/>
      <c r="P37" s="12"/>
      <c r="Q37" s="12"/>
      <c r="R37" s="12"/>
      <c r="S37" s="12"/>
    </row>
    <row r="38" spans="1:19" x14ac:dyDescent="0.35">
      <c r="A38" s="12"/>
      <c r="B38" s="12"/>
      <c r="C38" s="12"/>
      <c r="D38" s="12"/>
      <c r="E38" s="12"/>
      <c r="F38" s="12"/>
      <c r="G38" s="12"/>
      <c r="H38" s="12"/>
      <c r="I38" s="12"/>
      <c r="J38" s="12"/>
      <c r="K38" s="12"/>
      <c r="L38" s="12"/>
      <c r="M38" s="12"/>
      <c r="N38" s="12"/>
      <c r="O38" s="12"/>
      <c r="P38" s="12"/>
      <c r="Q38" s="12"/>
      <c r="R38" s="12"/>
      <c r="S38" s="12"/>
    </row>
    <row r="39" spans="1:19" x14ac:dyDescent="0.35">
      <c r="A39" s="12"/>
      <c r="B39" s="12"/>
      <c r="C39" s="12"/>
      <c r="D39" s="12"/>
      <c r="E39" s="12"/>
      <c r="F39" s="12"/>
      <c r="G39" s="12"/>
      <c r="H39" s="12"/>
      <c r="I39" s="12"/>
      <c r="J39" s="12"/>
      <c r="K39" s="12"/>
      <c r="L39" s="12"/>
      <c r="M39" s="12"/>
      <c r="N39" s="12"/>
      <c r="O39" s="12"/>
      <c r="P39" s="12"/>
      <c r="Q39" s="12"/>
      <c r="R39" s="12"/>
      <c r="S39" s="12"/>
    </row>
    <row r="40" spans="1:19" x14ac:dyDescent="0.35">
      <c r="A40" s="12"/>
      <c r="B40" s="12"/>
      <c r="C40" s="12"/>
      <c r="D40" s="12"/>
      <c r="E40" s="12"/>
      <c r="F40" s="12"/>
      <c r="G40" s="12"/>
      <c r="H40" s="12"/>
      <c r="I40" s="12"/>
      <c r="J40" s="12"/>
      <c r="K40" s="12"/>
      <c r="L40" s="12"/>
      <c r="M40" s="12"/>
      <c r="N40" s="12"/>
      <c r="O40" s="12"/>
      <c r="P40" s="12"/>
      <c r="Q40" s="12"/>
      <c r="R40" s="12"/>
      <c r="S40" s="12"/>
    </row>
    <row r="41" spans="1:19" x14ac:dyDescent="0.35">
      <c r="A41" s="12"/>
      <c r="B41" s="12"/>
      <c r="C41" s="12"/>
      <c r="D41" s="12"/>
      <c r="E41" s="12"/>
      <c r="F41" s="12"/>
      <c r="G41" s="12"/>
      <c r="H41" s="12"/>
      <c r="I41" s="12"/>
      <c r="J41" s="12"/>
      <c r="K41" s="12"/>
      <c r="L41" s="12"/>
      <c r="M41" s="12"/>
      <c r="N41" s="12"/>
      <c r="O41" s="12"/>
      <c r="P41" s="12"/>
      <c r="Q41" s="12"/>
      <c r="R41" s="12"/>
      <c r="S41" s="12"/>
    </row>
    <row r="42" spans="1:19" x14ac:dyDescent="0.35">
      <c r="A42" s="12"/>
      <c r="B42" s="12"/>
      <c r="C42" s="12"/>
      <c r="D42" s="12"/>
      <c r="E42" s="12"/>
      <c r="F42" s="12"/>
      <c r="G42" s="12"/>
      <c r="H42" s="12"/>
      <c r="I42" s="12"/>
      <c r="J42" s="12"/>
      <c r="K42" s="12"/>
      <c r="L42" s="12"/>
      <c r="M42" s="12"/>
      <c r="N42" s="12"/>
      <c r="O42" s="12"/>
      <c r="P42" s="12"/>
      <c r="Q42" s="12"/>
      <c r="R42" s="12"/>
      <c r="S42" s="12"/>
    </row>
    <row r="43" spans="1:19" x14ac:dyDescent="0.35">
      <c r="A43" s="12"/>
      <c r="B43" s="12"/>
      <c r="C43" s="12"/>
      <c r="D43" s="12"/>
      <c r="E43" s="12"/>
      <c r="F43" s="12"/>
      <c r="G43" s="12"/>
      <c r="H43" s="12"/>
      <c r="I43" s="12"/>
      <c r="J43" s="12"/>
      <c r="K43" s="12"/>
      <c r="L43" s="12"/>
      <c r="M43" s="12"/>
      <c r="N43" s="12"/>
      <c r="O43" s="12"/>
      <c r="P43" s="12"/>
      <c r="Q43" s="12"/>
      <c r="R43" s="12"/>
      <c r="S43" s="12"/>
    </row>
    <row r="44" spans="1:19" x14ac:dyDescent="0.35">
      <c r="A44" s="12"/>
      <c r="B44" s="12"/>
      <c r="C44" s="12"/>
      <c r="D44" s="12"/>
      <c r="E44" s="12"/>
      <c r="F44" s="12"/>
      <c r="G44" s="12"/>
      <c r="H44" s="12"/>
      <c r="I44" s="12"/>
      <c r="J44" s="12"/>
      <c r="K44" s="12"/>
      <c r="L44" s="12"/>
      <c r="M44" s="12"/>
      <c r="N44" s="12"/>
      <c r="O44" s="12"/>
      <c r="P44" s="12"/>
      <c r="Q44" s="12"/>
      <c r="R44" s="12"/>
      <c r="S44" s="12"/>
    </row>
    <row r="45" spans="1:19" x14ac:dyDescent="0.35">
      <c r="A45" s="12"/>
      <c r="B45" s="12"/>
      <c r="C45" s="12"/>
      <c r="D45" s="12"/>
      <c r="E45" s="12"/>
      <c r="F45" s="12"/>
      <c r="G45" s="12"/>
      <c r="H45" s="12"/>
      <c r="I45" s="12"/>
      <c r="J45" s="12"/>
      <c r="K45" s="12"/>
      <c r="L45" s="12"/>
      <c r="M45" s="12"/>
      <c r="N45" s="12"/>
      <c r="O45" s="12"/>
      <c r="P45" s="12"/>
      <c r="Q45" s="12"/>
      <c r="R45" s="12"/>
      <c r="S45" s="12"/>
    </row>
    <row r="46" spans="1:19" x14ac:dyDescent="0.35">
      <c r="A46" s="12"/>
      <c r="B46" s="12"/>
      <c r="C46" s="12"/>
      <c r="D46" s="12"/>
      <c r="E46" s="12"/>
      <c r="F46" s="12"/>
      <c r="G46" s="12"/>
      <c r="H46" s="12"/>
      <c r="I46" s="12"/>
      <c r="J46" s="12"/>
      <c r="K46" s="12"/>
      <c r="L46" s="12"/>
      <c r="M46" s="12"/>
      <c r="N46" s="12"/>
      <c r="O46" s="12"/>
      <c r="P46" s="12"/>
      <c r="Q46" s="12"/>
      <c r="R46" s="12"/>
      <c r="S46" s="12"/>
    </row>
    <row r="47" spans="1:19" x14ac:dyDescent="0.35">
      <c r="A47" s="12"/>
      <c r="B47" s="12"/>
      <c r="C47" s="12"/>
      <c r="D47" s="12"/>
      <c r="E47" s="12"/>
      <c r="F47" s="12"/>
      <c r="G47" s="12"/>
      <c r="H47" s="12"/>
      <c r="I47" s="12"/>
      <c r="J47" s="12"/>
      <c r="K47" s="12"/>
      <c r="L47" s="12"/>
      <c r="M47" s="12"/>
      <c r="N47" s="12"/>
      <c r="O47" s="12"/>
      <c r="P47" s="12"/>
      <c r="Q47" s="12"/>
      <c r="R47" s="12"/>
      <c r="S47" s="12"/>
    </row>
    <row r="48" spans="1:19" x14ac:dyDescent="0.35">
      <c r="A48" s="12"/>
      <c r="B48" s="12"/>
      <c r="C48" s="12"/>
      <c r="D48" s="12"/>
      <c r="E48" s="12"/>
      <c r="F48" s="12"/>
      <c r="G48" s="12"/>
      <c r="H48" s="12"/>
      <c r="I48" s="12"/>
      <c r="J48" s="12"/>
      <c r="K48" s="12"/>
      <c r="L48" s="12"/>
      <c r="M48" s="12"/>
      <c r="N48" s="12"/>
      <c r="O48" s="12"/>
      <c r="P48" s="12"/>
      <c r="Q48" s="12"/>
      <c r="R48" s="12"/>
      <c r="S48" s="12"/>
    </row>
    <row r="49" spans="1:19" x14ac:dyDescent="0.35">
      <c r="A49" s="12"/>
      <c r="B49" s="12"/>
      <c r="C49" s="12"/>
      <c r="D49" s="12"/>
      <c r="E49" s="12"/>
      <c r="F49" s="12"/>
      <c r="G49" s="12"/>
      <c r="H49" s="12"/>
      <c r="I49" s="12"/>
      <c r="J49" s="12"/>
      <c r="K49" s="12"/>
      <c r="L49" s="12"/>
      <c r="M49" s="12"/>
      <c r="N49" s="12"/>
      <c r="O49" s="12"/>
      <c r="P49" s="12"/>
      <c r="Q49" s="12"/>
      <c r="R49" s="12"/>
      <c r="S49" s="12"/>
    </row>
    <row r="50" spans="1:19" x14ac:dyDescent="0.35">
      <c r="A50" s="12"/>
      <c r="B50" s="12"/>
      <c r="C50" s="12"/>
      <c r="D50" s="12"/>
      <c r="E50" s="12"/>
      <c r="F50" s="12"/>
      <c r="G50" s="12"/>
      <c r="H50" s="12"/>
      <c r="I50" s="12"/>
      <c r="J50" s="12"/>
      <c r="K50" s="12"/>
      <c r="L50" s="12"/>
      <c r="M50" s="12"/>
      <c r="N50" s="12"/>
      <c r="O50" s="12"/>
      <c r="P50" s="12"/>
      <c r="Q50" s="12"/>
      <c r="R50" s="12"/>
      <c r="S50" s="12"/>
    </row>
    <row r="51" spans="1:19" x14ac:dyDescent="0.35">
      <c r="A51" s="12"/>
      <c r="B51" s="12"/>
      <c r="C51" s="12"/>
      <c r="D51" s="12"/>
      <c r="E51" s="12"/>
      <c r="F51" s="12"/>
      <c r="G51" s="12"/>
      <c r="H51" s="12"/>
      <c r="I51" s="12"/>
      <c r="J51" s="12"/>
      <c r="K51" s="12"/>
      <c r="L51" s="12"/>
      <c r="M51" s="12"/>
      <c r="N51" s="12"/>
      <c r="O51" s="12"/>
      <c r="P51" s="12"/>
      <c r="Q51" s="12"/>
      <c r="R51" s="12"/>
      <c r="S51" s="12"/>
    </row>
    <row r="52" spans="1:19" x14ac:dyDescent="0.35">
      <c r="A52" s="12"/>
      <c r="B52" s="12"/>
      <c r="C52" s="12"/>
      <c r="D52" s="12"/>
      <c r="E52" s="12"/>
      <c r="F52" s="12"/>
      <c r="G52" s="12"/>
      <c r="H52" s="12"/>
      <c r="I52" s="12"/>
      <c r="J52" s="12"/>
      <c r="K52" s="12"/>
      <c r="L52" s="12"/>
      <c r="M52" s="12"/>
      <c r="N52" s="12"/>
      <c r="O52" s="12"/>
      <c r="P52" s="12"/>
      <c r="Q52" s="12"/>
      <c r="R52" s="12"/>
      <c r="S52" s="12"/>
    </row>
    <row r="53" spans="1:19" x14ac:dyDescent="0.35">
      <c r="A53" s="12"/>
      <c r="B53" s="12"/>
      <c r="C53" s="12"/>
      <c r="D53" s="12"/>
      <c r="E53" s="12"/>
      <c r="F53" s="12"/>
      <c r="G53" s="12"/>
      <c r="H53" s="12"/>
      <c r="I53" s="12"/>
      <c r="J53" s="12"/>
      <c r="K53" s="12"/>
      <c r="L53" s="12"/>
      <c r="M53" s="12"/>
      <c r="N53" s="12"/>
      <c r="O53" s="12"/>
      <c r="P53" s="12"/>
      <c r="Q53" s="12"/>
      <c r="R53" s="12"/>
      <c r="S53" s="12"/>
    </row>
    <row r="54" spans="1:19" x14ac:dyDescent="0.35">
      <c r="A54" s="11"/>
      <c r="B54" s="11"/>
      <c r="C54" s="11"/>
      <c r="D54" s="11"/>
      <c r="E54" s="11"/>
      <c r="F54" s="11"/>
      <c r="G54" s="11"/>
      <c r="H54" s="11"/>
      <c r="I54" s="11"/>
      <c r="J54" s="11"/>
      <c r="K54" s="11"/>
      <c r="L54" s="11"/>
      <c r="M54" s="11"/>
      <c r="N54" s="11"/>
      <c r="O54" s="11"/>
      <c r="P54" s="11"/>
      <c r="Q54" s="11"/>
      <c r="R54" s="11"/>
      <c r="S54" s="11"/>
    </row>
    <row r="55" spans="1:19" x14ac:dyDescent="0.35">
      <c r="A55" s="11"/>
      <c r="B55" s="11"/>
      <c r="C55" s="11"/>
      <c r="D55" s="11"/>
      <c r="E55" s="11"/>
      <c r="F55" s="11"/>
      <c r="G55" s="11"/>
      <c r="H55" s="11"/>
      <c r="I55" s="11"/>
      <c r="J55" s="11"/>
      <c r="K55" s="11"/>
      <c r="L55" s="11"/>
      <c r="M55" s="11"/>
      <c r="N55" s="11"/>
      <c r="O55" s="11"/>
      <c r="P55" s="11"/>
      <c r="Q55" s="11"/>
      <c r="R55" s="11"/>
      <c r="S55" s="11"/>
    </row>
    <row r="56" spans="1:19" x14ac:dyDescent="0.35">
      <c r="A56" s="11"/>
      <c r="B56" s="11"/>
      <c r="C56" s="11"/>
      <c r="D56" s="11"/>
      <c r="E56" s="11"/>
      <c r="F56" s="11"/>
      <c r="G56" s="11"/>
      <c r="H56" s="11"/>
      <c r="I56" s="11"/>
      <c r="J56" s="11"/>
      <c r="K56" s="11"/>
      <c r="L56" s="11"/>
      <c r="M56" s="11"/>
      <c r="N56" s="11"/>
      <c r="O56" s="11"/>
      <c r="P56" s="11"/>
      <c r="Q56" s="11"/>
      <c r="R56" s="11"/>
      <c r="S56" s="11"/>
    </row>
    <row r="57" spans="1:19" x14ac:dyDescent="0.35">
      <c r="A57" s="11"/>
      <c r="B57" s="11"/>
      <c r="C57" s="11"/>
      <c r="D57" s="11"/>
      <c r="E57" s="11"/>
      <c r="F57" s="11"/>
      <c r="G57" s="11"/>
      <c r="H57" s="11"/>
      <c r="I57" s="11"/>
      <c r="J57" s="11"/>
      <c r="K57" s="11"/>
      <c r="L57" s="11"/>
      <c r="M57" s="11"/>
      <c r="N57" s="11"/>
      <c r="O57" s="11"/>
      <c r="P57" s="11"/>
      <c r="Q57" s="11"/>
      <c r="R57" s="11"/>
      <c r="S57" s="11"/>
    </row>
    <row r="58" spans="1:19" x14ac:dyDescent="0.35">
      <c r="A58" s="11"/>
      <c r="B58" s="11"/>
      <c r="C58" s="11"/>
      <c r="D58" s="11"/>
      <c r="E58" s="11"/>
      <c r="F58" s="11"/>
      <c r="G58" s="11"/>
      <c r="H58" s="11"/>
      <c r="I58" s="11"/>
      <c r="J58" s="11"/>
      <c r="K58" s="11"/>
      <c r="L58" s="11"/>
      <c r="M58" s="11"/>
      <c r="N58" s="11"/>
      <c r="O58" s="11"/>
      <c r="P58" s="11"/>
      <c r="Q58" s="11"/>
      <c r="R58" s="11"/>
      <c r="S58" s="11"/>
    </row>
    <row r="59" spans="1:19" x14ac:dyDescent="0.35">
      <c r="A59" s="11"/>
      <c r="B59" s="11"/>
      <c r="C59" s="11"/>
      <c r="D59" s="11"/>
      <c r="E59" s="11"/>
      <c r="F59" s="11"/>
      <c r="G59" s="11"/>
      <c r="H59" s="11"/>
      <c r="I59" s="11"/>
      <c r="J59" s="11"/>
      <c r="K59" s="11"/>
      <c r="L59" s="11"/>
      <c r="M59" s="11"/>
      <c r="N59" s="11"/>
      <c r="O59" s="11"/>
      <c r="P59" s="11"/>
      <c r="Q59" s="11"/>
      <c r="R59" s="11"/>
      <c r="S59" s="11"/>
    </row>
    <row r="60" spans="1:19" x14ac:dyDescent="0.35">
      <c r="A60" s="11"/>
      <c r="B60" s="11"/>
      <c r="C60" s="11"/>
      <c r="D60" s="11"/>
      <c r="E60" s="11"/>
      <c r="F60" s="11"/>
      <c r="G60" s="11"/>
      <c r="H60" s="11"/>
      <c r="I60" s="11"/>
      <c r="J60" s="11"/>
      <c r="K60" s="11"/>
      <c r="L60" s="11"/>
      <c r="M60" s="11"/>
      <c r="N60" s="11"/>
      <c r="O60" s="11"/>
      <c r="P60" s="11"/>
      <c r="Q60" s="11"/>
      <c r="R60" s="11"/>
      <c r="S60" s="11"/>
    </row>
    <row r="61" spans="1:19" x14ac:dyDescent="0.35">
      <c r="A61" s="11"/>
      <c r="B61" s="11"/>
      <c r="C61" s="11"/>
      <c r="D61" s="11"/>
      <c r="E61" s="11"/>
      <c r="F61" s="11"/>
      <c r="G61" s="11"/>
      <c r="H61" s="11"/>
      <c r="I61" s="11"/>
      <c r="J61" s="11"/>
      <c r="K61" s="11"/>
      <c r="L61" s="11"/>
      <c r="M61" s="11"/>
      <c r="N61" s="11"/>
      <c r="O61" s="11"/>
      <c r="P61" s="11"/>
      <c r="Q61" s="11"/>
      <c r="R61" s="11"/>
      <c r="S61" s="11"/>
    </row>
    <row r="62" spans="1:19" x14ac:dyDescent="0.35">
      <c r="A62" s="11"/>
      <c r="B62" s="11"/>
      <c r="C62" s="11"/>
      <c r="D62" s="11"/>
      <c r="E62" s="11"/>
      <c r="F62" s="11"/>
      <c r="G62" s="11"/>
      <c r="H62" s="11"/>
      <c r="I62" s="11"/>
      <c r="J62" s="11"/>
      <c r="K62" s="11"/>
      <c r="L62" s="11"/>
      <c r="M62" s="11"/>
      <c r="N62" s="11"/>
      <c r="O62" s="11"/>
      <c r="P62" s="11"/>
      <c r="Q62" s="11"/>
      <c r="R62" s="11"/>
      <c r="S62" s="11"/>
    </row>
    <row r="63" spans="1:19" x14ac:dyDescent="0.35">
      <c r="A63" s="11"/>
      <c r="B63" s="11"/>
      <c r="C63" s="11"/>
      <c r="D63" s="11"/>
      <c r="E63" s="11"/>
      <c r="F63" s="11"/>
      <c r="G63" s="11"/>
      <c r="H63" s="11"/>
      <c r="I63" s="11"/>
      <c r="J63" s="11"/>
      <c r="K63" s="11"/>
      <c r="L63" s="11"/>
      <c r="M63" s="11"/>
      <c r="N63" s="11"/>
      <c r="O63" s="11"/>
      <c r="P63" s="11"/>
      <c r="Q63" s="11"/>
      <c r="R63" s="11"/>
      <c r="S63" s="11"/>
    </row>
    <row r="64" spans="1:19" x14ac:dyDescent="0.35">
      <c r="A64" s="11"/>
      <c r="B64" s="11"/>
      <c r="C64" s="11"/>
      <c r="D64" s="11"/>
      <c r="E64" s="11"/>
      <c r="F64" s="11"/>
      <c r="G64" s="11"/>
      <c r="H64" s="11"/>
      <c r="I64" s="11"/>
      <c r="J64" s="11"/>
      <c r="K64" s="11"/>
      <c r="L64" s="11"/>
      <c r="M64" s="11"/>
      <c r="N64" s="11"/>
      <c r="O64" s="11"/>
      <c r="P64" s="11"/>
      <c r="Q64" s="11"/>
      <c r="R64" s="11"/>
      <c r="S64" s="11"/>
    </row>
    <row r="65" spans="1:19" x14ac:dyDescent="0.35">
      <c r="A65" s="11"/>
      <c r="B65" s="11"/>
      <c r="C65" s="11"/>
      <c r="D65" s="11"/>
      <c r="E65" s="11"/>
      <c r="F65" s="11"/>
      <c r="G65" s="11"/>
      <c r="H65" s="11"/>
      <c r="I65" s="11"/>
      <c r="J65" s="11"/>
      <c r="K65" s="11"/>
      <c r="L65" s="11"/>
      <c r="M65" s="11"/>
      <c r="N65" s="11"/>
      <c r="O65" s="11"/>
      <c r="P65" s="11"/>
      <c r="Q65" s="11"/>
      <c r="R65" s="11"/>
      <c r="S65" s="11"/>
    </row>
    <row r="66" spans="1:19" x14ac:dyDescent="0.35">
      <c r="A66" s="11"/>
      <c r="B66" s="11"/>
      <c r="C66" s="11"/>
      <c r="D66" s="11"/>
      <c r="E66" s="11"/>
      <c r="F66" s="11"/>
      <c r="G66" s="11"/>
      <c r="H66" s="11"/>
      <c r="I66" s="11"/>
      <c r="J66" s="11"/>
      <c r="K66" s="11"/>
      <c r="L66" s="11"/>
      <c r="M66" s="11"/>
      <c r="N66" s="11"/>
      <c r="O66" s="11"/>
      <c r="P66" s="11"/>
      <c r="Q66" s="11"/>
      <c r="R66" s="11"/>
      <c r="S66" s="11"/>
    </row>
    <row r="67" spans="1:19" x14ac:dyDescent="0.35">
      <c r="A67" s="11"/>
      <c r="B67" s="11"/>
      <c r="C67" s="11"/>
      <c r="D67" s="11"/>
      <c r="E67" s="11"/>
      <c r="F67" s="11"/>
      <c r="G67" s="11"/>
      <c r="H67" s="11"/>
      <c r="I67" s="11"/>
      <c r="J67" s="11"/>
      <c r="K67" s="11"/>
      <c r="L67" s="11"/>
      <c r="M67" s="11"/>
      <c r="N67" s="11"/>
      <c r="O67" s="11"/>
      <c r="P67" s="11"/>
      <c r="Q67" s="11"/>
      <c r="R67" s="11"/>
      <c r="S67" s="11"/>
    </row>
    <row r="68" spans="1:19" x14ac:dyDescent="0.35">
      <c r="A68" s="11"/>
      <c r="B68" s="11"/>
      <c r="C68" s="11"/>
      <c r="D68" s="11"/>
      <c r="E68" s="11"/>
      <c r="F68" s="11"/>
      <c r="G68" s="11"/>
      <c r="H68" s="11"/>
      <c r="I68" s="11"/>
      <c r="J68" s="11"/>
      <c r="K68" s="11"/>
      <c r="L68" s="11"/>
      <c r="M68" s="11"/>
      <c r="N68" s="11"/>
      <c r="O68" s="11"/>
      <c r="P68" s="11"/>
      <c r="Q68" s="11"/>
      <c r="R68" s="11"/>
      <c r="S68" s="11"/>
    </row>
    <row r="69" spans="1:19" x14ac:dyDescent="0.35">
      <c r="A69" s="11"/>
      <c r="B69" s="11"/>
      <c r="C69" s="11"/>
      <c r="D69" s="11"/>
      <c r="E69" s="11"/>
      <c r="F69" s="11"/>
      <c r="G69" s="11"/>
      <c r="H69" s="11"/>
      <c r="I69" s="11"/>
      <c r="J69" s="11"/>
      <c r="K69" s="11"/>
      <c r="L69" s="11"/>
      <c r="M69" s="11"/>
      <c r="N69" s="11"/>
      <c r="O69" s="11"/>
      <c r="P69" s="11"/>
      <c r="Q69" s="11"/>
      <c r="R69" s="11"/>
      <c r="S69" s="11"/>
    </row>
    <row r="70" spans="1:19" x14ac:dyDescent="0.35">
      <c r="A70" s="11"/>
      <c r="B70" s="11"/>
      <c r="C70" s="11"/>
      <c r="D70" s="11"/>
      <c r="E70" s="11"/>
      <c r="F70" s="11"/>
      <c r="G70" s="11"/>
      <c r="H70" s="11"/>
      <c r="I70" s="11"/>
      <c r="J70" s="11"/>
      <c r="K70" s="11"/>
      <c r="L70" s="11"/>
      <c r="M70" s="11"/>
      <c r="N70" s="11"/>
      <c r="O70" s="11"/>
      <c r="P70" s="11"/>
      <c r="Q70" s="11"/>
      <c r="R70" s="11"/>
      <c r="S70"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411BD-F420-490D-A291-6CA59126CDDC}">
  <dimension ref="A1:V60"/>
  <sheetViews>
    <sheetView showGridLines="0" tabSelected="1" workbookViewId="0">
      <selection activeCell="S17" sqref="S17"/>
    </sheetView>
  </sheetViews>
  <sheetFormatPr defaultRowHeight="14.5" x14ac:dyDescent="0.35"/>
  <sheetData>
    <row r="1" spans="1:22" x14ac:dyDescent="0.35">
      <c r="A1" s="12"/>
      <c r="B1" s="12"/>
      <c r="C1" s="12"/>
      <c r="D1" s="12"/>
      <c r="E1" s="12"/>
      <c r="F1" s="12"/>
      <c r="G1" s="12"/>
      <c r="H1" s="12"/>
      <c r="I1" s="12"/>
      <c r="J1" s="12"/>
      <c r="K1" s="12"/>
      <c r="L1" s="12"/>
      <c r="M1" s="12"/>
      <c r="N1" s="12"/>
      <c r="O1" s="12"/>
      <c r="P1" s="12"/>
      <c r="Q1" s="12"/>
      <c r="R1" s="12"/>
      <c r="S1" s="12"/>
      <c r="T1" s="12"/>
    </row>
    <row r="2" spans="1:22" x14ac:dyDescent="0.35">
      <c r="A2" s="12"/>
      <c r="B2" s="12"/>
      <c r="C2" s="12"/>
      <c r="D2" s="12"/>
      <c r="E2" s="12"/>
      <c r="F2" s="12"/>
      <c r="G2" s="12"/>
      <c r="H2" s="12"/>
      <c r="I2" s="12"/>
      <c r="J2" s="12"/>
      <c r="K2" s="12"/>
      <c r="L2" s="12"/>
      <c r="M2" s="12"/>
      <c r="N2" s="12"/>
      <c r="O2" s="12"/>
      <c r="P2" s="12"/>
      <c r="Q2" s="12"/>
      <c r="R2" s="12"/>
      <c r="S2" s="12"/>
      <c r="T2" s="12"/>
    </row>
    <row r="3" spans="1:22" x14ac:dyDescent="0.35">
      <c r="A3" s="12"/>
      <c r="B3" s="12"/>
      <c r="C3" s="12"/>
      <c r="D3" s="12"/>
      <c r="E3" s="12"/>
      <c r="F3" s="12"/>
      <c r="G3" s="12"/>
      <c r="H3" s="12"/>
      <c r="I3" s="12"/>
      <c r="J3" s="12"/>
      <c r="K3" s="12"/>
      <c r="L3" s="12"/>
      <c r="M3" s="12"/>
      <c r="N3" s="12"/>
      <c r="O3" s="12"/>
      <c r="P3" s="12"/>
      <c r="Q3" s="12"/>
      <c r="R3" s="12"/>
      <c r="S3" s="12"/>
      <c r="T3" s="12"/>
    </row>
    <row r="4" spans="1:22" x14ac:dyDescent="0.35">
      <c r="A4" s="12"/>
      <c r="B4" s="12"/>
      <c r="C4" s="12"/>
      <c r="D4" s="12"/>
      <c r="E4" s="12"/>
      <c r="F4" s="12"/>
      <c r="G4" s="12"/>
      <c r="H4" s="12"/>
      <c r="I4" s="12"/>
      <c r="J4" s="12"/>
      <c r="K4" s="12"/>
      <c r="L4" s="12"/>
      <c r="M4" s="12"/>
      <c r="N4" s="12"/>
      <c r="O4" s="12"/>
      <c r="P4" s="12"/>
      <c r="Q4" s="12"/>
      <c r="R4" s="12"/>
      <c r="S4" s="12"/>
      <c r="T4" s="12"/>
    </row>
    <row r="5" spans="1:22" x14ac:dyDescent="0.35">
      <c r="A5" s="12"/>
      <c r="B5" s="12"/>
      <c r="C5" s="12"/>
      <c r="D5" s="12"/>
      <c r="E5" s="12"/>
      <c r="F5" s="12"/>
      <c r="G5" s="12"/>
      <c r="H5" s="12"/>
      <c r="I5" s="12"/>
      <c r="J5" s="12"/>
      <c r="K5" s="12"/>
      <c r="L5" s="12"/>
      <c r="M5" s="12"/>
      <c r="N5" s="12"/>
      <c r="O5" s="12"/>
      <c r="P5" s="12"/>
      <c r="Q5" s="12"/>
      <c r="R5" s="12"/>
      <c r="S5" s="12"/>
      <c r="T5" s="12"/>
    </row>
    <row r="6" spans="1:22" x14ac:dyDescent="0.35">
      <c r="A6" s="12"/>
      <c r="B6" s="12"/>
      <c r="C6" s="12"/>
      <c r="D6" s="12"/>
      <c r="E6" s="12"/>
      <c r="F6" s="12"/>
      <c r="G6" s="12"/>
      <c r="H6" s="12"/>
      <c r="I6" s="12"/>
      <c r="J6" s="12"/>
      <c r="K6" s="12"/>
      <c r="L6" s="12"/>
      <c r="M6" s="12"/>
      <c r="N6" s="12"/>
      <c r="O6" s="12"/>
      <c r="P6" s="12"/>
      <c r="Q6" s="12"/>
      <c r="R6" s="12"/>
      <c r="S6" s="12"/>
      <c r="T6" s="12"/>
    </row>
    <row r="7" spans="1:22" x14ac:dyDescent="0.35">
      <c r="A7" s="12"/>
      <c r="B7" s="12"/>
      <c r="C7" s="12"/>
      <c r="D7" s="12"/>
      <c r="E7" s="12"/>
      <c r="F7" s="12"/>
      <c r="G7" s="12"/>
      <c r="H7" s="12"/>
      <c r="I7" s="12"/>
      <c r="J7" s="12"/>
      <c r="K7" s="12"/>
      <c r="L7" s="12"/>
      <c r="M7" s="12"/>
      <c r="N7" s="12"/>
      <c r="O7" s="12"/>
      <c r="P7" s="12"/>
      <c r="Q7" s="12"/>
      <c r="R7" s="12"/>
      <c r="S7" s="12"/>
      <c r="T7" s="12"/>
    </row>
    <row r="8" spans="1:22" x14ac:dyDescent="0.35">
      <c r="A8" s="12"/>
      <c r="B8" s="12"/>
      <c r="C8" s="12"/>
      <c r="D8" s="12"/>
      <c r="E8" s="12"/>
      <c r="F8" s="12"/>
      <c r="G8" s="12"/>
      <c r="H8" s="12"/>
      <c r="I8" s="12"/>
      <c r="J8" s="12"/>
      <c r="K8" s="12"/>
      <c r="L8" s="12"/>
      <c r="M8" s="12"/>
      <c r="N8" s="12"/>
      <c r="O8" s="12"/>
      <c r="P8" s="12"/>
      <c r="Q8" s="12"/>
      <c r="R8" s="12"/>
      <c r="S8" s="12"/>
      <c r="T8" s="12"/>
    </row>
    <row r="9" spans="1:22" x14ac:dyDescent="0.35">
      <c r="A9" s="12"/>
      <c r="B9" s="12"/>
      <c r="C9" s="12"/>
      <c r="D9" s="12"/>
      <c r="E9" s="12"/>
      <c r="F9" s="12"/>
      <c r="G9" s="12"/>
      <c r="H9" s="12"/>
      <c r="I9" s="12"/>
      <c r="J9" s="12"/>
      <c r="K9" s="12"/>
      <c r="L9" s="12"/>
      <c r="M9" s="12"/>
      <c r="N9" s="12"/>
      <c r="O9" s="12"/>
      <c r="P9" s="12"/>
      <c r="Q9" s="12"/>
      <c r="R9" s="12"/>
      <c r="S9" s="12"/>
      <c r="T9" s="12"/>
    </row>
    <row r="10" spans="1:22" x14ac:dyDescent="0.35">
      <c r="A10" s="12"/>
      <c r="B10" s="12"/>
      <c r="C10" s="12"/>
      <c r="D10" s="12"/>
      <c r="E10" s="12"/>
      <c r="F10" s="12"/>
      <c r="G10" s="12"/>
      <c r="H10" s="12"/>
      <c r="I10" s="12"/>
      <c r="J10" s="12"/>
      <c r="K10" s="12"/>
      <c r="L10" s="12"/>
      <c r="M10" s="12"/>
      <c r="N10" s="12"/>
      <c r="O10" s="12"/>
      <c r="P10" s="12"/>
      <c r="Q10" s="12"/>
      <c r="R10" s="12"/>
      <c r="S10" s="12"/>
      <c r="T10" s="12"/>
    </row>
    <row r="11" spans="1:22" x14ac:dyDescent="0.35">
      <c r="A11" s="12"/>
      <c r="B11" s="12"/>
      <c r="C11" s="12"/>
      <c r="D11" s="12"/>
      <c r="E11" s="12"/>
      <c r="F11" s="12"/>
      <c r="G11" s="12"/>
      <c r="H11" s="12"/>
      <c r="I11" s="12"/>
      <c r="J11" s="12"/>
      <c r="K11" s="12"/>
      <c r="L11" s="12"/>
      <c r="M11" s="12"/>
      <c r="N11" s="12"/>
      <c r="O11" s="12"/>
      <c r="P11" s="12"/>
      <c r="Q11" s="12"/>
      <c r="R11" s="12"/>
      <c r="S11" s="12"/>
      <c r="T11" s="12"/>
    </row>
    <row r="12" spans="1:22" x14ac:dyDescent="0.35">
      <c r="A12" s="12"/>
      <c r="B12" s="12"/>
      <c r="C12" s="12"/>
      <c r="D12" s="12"/>
      <c r="E12" s="12"/>
      <c r="F12" s="12"/>
      <c r="G12" s="12"/>
      <c r="H12" s="12"/>
      <c r="I12" s="12"/>
      <c r="J12" s="12"/>
      <c r="K12" s="12"/>
      <c r="L12" s="12"/>
      <c r="M12" s="12"/>
      <c r="N12" s="12"/>
      <c r="O12" s="12"/>
      <c r="P12" s="12"/>
      <c r="Q12" s="12"/>
      <c r="R12" s="12"/>
      <c r="S12" s="12"/>
      <c r="T12" s="12"/>
    </row>
    <row r="13" spans="1:22" x14ac:dyDescent="0.35">
      <c r="A13" s="12"/>
      <c r="B13" s="12"/>
      <c r="C13" s="12"/>
      <c r="D13" s="12"/>
      <c r="E13" s="12"/>
      <c r="F13" s="12"/>
      <c r="G13" s="12"/>
      <c r="H13" s="12"/>
      <c r="I13" s="12"/>
      <c r="J13" s="12"/>
      <c r="K13" s="12"/>
      <c r="L13" s="12"/>
      <c r="M13" s="12"/>
      <c r="N13" s="12"/>
      <c r="O13" s="12"/>
      <c r="P13" s="12"/>
      <c r="Q13" s="12"/>
      <c r="R13" s="12"/>
      <c r="S13" s="12"/>
      <c r="T13" s="12"/>
      <c r="V13">
        <f>52.7+53.7+60.4+36.4</f>
        <v>203.20000000000002</v>
      </c>
    </row>
    <row r="14" spans="1:22" x14ac:dyDescent="0.35">
      <c r="A14" s="12"/>
      <c r="B14" s="12"/>
      <c r="C14" s="12"/>
      <c r="D14" s="12"/>
      <c r="E14" s="12"/>
      <c r="F14" s="12"/>
      <c r="G14" s="12"/>
      <c r="H14" s="12"/>
      <c r="I14" s="12"/>
      <c r="J14" s="12"/>
      <c r="K14" s="12"/>
      <c r="L14" s="12"/>
      <c r="M14" s="12"/>
      <c r="N14" s="12"/>
      <c r="O14" s="12"/>
      <c r="P14" s="12"/>
      <c r="Q14" s="12"/>
      <c r="R14" s="12"/>
      <c r="S14" s="12"/>
      <c r="T14" s="12"/>
    </row>
    <row r="15" spans="1:22" x14ac:dyDescent="0.35">
      <c r="A15" s="12"/>
      <c r="B15" s="12"/>
      <c r="C15" s="12"/>
      <c r="D15" s="12"/>
      <c r="E15" s="12"/>
      <c r="F15" s="12"/>
      <c r="G15" s="12"/>
      <c r="H15" s="12"/>
      <c r="I15" s="12"/>
      <c r="J15" s="12"/>
      <c r="K15" s="12"/>
      <c r="L15" s="12"/>
      <c r="M15" s="12"/>
      <c r="N15" s="12"/>
      <c r="O15" s="12"/>
      <c r="P15" s="12"/>
      <c r="Q15" s="12"/>
      <c r="R15" s="12"/>
      <c r="S15" s="12"/>
      <c r="T15" s="12"/>
    </row>
    <row r="16" spans="1:22" x14ac:dyDescent="0.35">
      <c r="A16" s="12"/>
      <c r="B16" s="12"/>
      <c r="C16" s="12"/>
      <c r="D16" s="12"/>
      <c r="E16" s="12"/>
      <c r="F16" s="12"/>
      <c r="G16" s="12"/>
      <c r="H16" s="12"/>
      <c r="I16" s="12"/>
      <c r="J16" s="12"/>
      <c r="K16" s="12"/>
      <c r="L16" s="12"/>
      <c r="M16" s="12"/>
      <c r="N16" s="12"/>
      <c r="O16" s="12"/>
      <c r="P16" s="12"/>
      <c r="Q16" s="12"/>
      <c r="R16" s="12"/>
      <c r="S16" s="12"/>
      <c r="T16" s="12"/>
    </row>
    <row r="17" spans="1:20" x14ac:dyDescent="0.35">
      <c r="A17" s="12"/>
      <c r="B17" s="12"/>
      <c r="C17" s="12"/>
      <c r="D17" s="12"/>
      <c r="E17" s="12"/>
      <c r="F17" s="12"/>
      <c r="G17" s="12"/>
      <c r="H17" s="12"/>
      <c r="I17" s="12"/>
      <c r="J17" s="12"/>
      <c r="K17" s="12"/>
      <c r="L17" s="12"/>
      <c r="M17" s="12"/>
      <c r="N17" s="12"/>
      <c r="O17" s="12"/>
      <c r="P17" s="12"/>
      <c r="Q17" s="12"/>
      <c r="R17" s="12"/>
      <c r="S17" s="12"/>
      <c r="T17" s="12"/>
    </row>
    <row r="18" spans="1:20" x14ac:dyDescent="0.35">
      <c r="A18" s="12"/>
      <c r="B18" s="12"/>
      <c r="C18" s="12"/>
      <c r="D18" s="12"/>
      <c r="E18" s="12"/>
      <c r="F18" s="12"/>
      <c r="G18" s="12"/>
      <c r="H18" s="12"/>
      <c r="I18" s="12"/>
      <c r="J18" s="12"/>
      <c r="K18" s="12"/>
      <c r="L18" s="12"/>
      <c r="M18" s="12"/>
      <c r="N18" s="12"/>
      <c r="O18" s="12"/>
      <c r="P18" s="12"/>
      <c r="Q18" s="12"/>
      <c r="R18" s="12"/>
      <c r="S18" s="12"/>
      <c r="T18" s="12"/>
    </row>
    <row r="19" spans="1:20" x14ac:dyDescent="0.35">
      <c r="A19" s="12"/>
      <c r="B19" s="12"/>
      <c r="C19" s="12"/>
      <c r="D19" s="12"/>
      <c r="E19" s="12"/>
      <c r="F19" s="12"/>
      <c r="G19" s="12"/>
      <c r="H19" s="12"/>
      <c r="I19" s="12"/>
      <c r="J19" s="12"/>
      <c r="K19" s="12"/>
      <c r="L19" s="12"/>
      <c r="M19" s="12"/>
      <c r="N19" s="12"/>
      <c r="O19" s="12"/>
      <c r="P19" s="12"/>
      <c r="Q19" s="12"/>
      <c r="R19" s="12"/>
      <c r="S19" s="12"/>
      <c r="T19" s="12"/>
    </row>
    <row r="20" spans="1:20" x14ac:dyDescent="0.35">
      <c r="A20" s="12"/>
      <c r="B20" s="12"/>
      <c r="C20" s="12"/>
      <c r="D20" s="12"/>
      <c r="E20" s="12"/>
      <c r="F20" s="12"/>
      <c r="G20" s="12"/>
      <c r="H20" s="12"/>
      <c r="I20" s="12"/>
      <c r="J20" s="12"/>
      <c r="K20" s="12"/>
      <c r="L20" s="12"/>
      <c r="M20" s="12"/>
      <c r="N20" s="12"/>
      <c r="O20" s="12"/>
      <c r="P20" s="12"/>
      <c r="Q20" s="12"/>
      <c r="R20" s="12"/>
      <c r="S20" s="12"/>
      <c r="T20" s="12"/>
    </row>
    <row r="21" spans="1:20" x14ac:dyDescent="0.35">
      <c r="A21" s="12"/>
      <c r="B21" s="12"/>
      <c r="C21" s="12"/>
      <c r="D21" s="12"/>
      <c r="E21" s="12"/>
      <c r="F21" s="12"/>
      <c r="G21" s="12"/>
      <c r="H21" s="12"/>
      <c r="I21" s="12"/>
      <c r="J21" s="12"/>
      <c r="K21" s="12"/>
      <c r="L21" s="12"/>
      <c r="M21" s="12"/>
      <c r="N21" s="12"/>
      <c r="O21" s="12"/>
      <c r="P21" s="12"/>
      <c r="Q21" s="12"/>
      <c r="R21" s="12"/>
      <c r="S21" s="12"/>
      <c r="T21" s="12"/>
    </row>
    <row r="22" spans="1:20" x14ac:dyDescent="0.35">
      <c r="A22" s="12"/>
      <c r="B22" s="12"/>
      <c r="C22" s="12"/>
      <c r="D22" s="12"/>
      <c r="E22" s="12"/>
      <c r="F22" s="12"/>
      <c r="G22" s="12"/>
      <c r="H22" s="12"/>
      <c r="I22" s="12"/>
      <c r="J22" s="12"/>
      <c r="K22" s="12"/>
      <c r="L22" s="12"/>
      <c r="M22" s="12"/>
      <c r="N22" s="12"/>
      <c r="O22" s="12"/>
      <c r="P22" s="12"/>
      <c r="Q22" s="12"/>
      <c r="R22" s="12"/>
      <c r="S22" s="12"/>
      <c r="T22" s="12"/>
    </row>
    <row r="23" spans="1:20" x14ac:dyDescent="0.35">
      <c r="A23" s="12"/>
      <c r="B23" s="12"/>
      <c r="C23" s="12"/>
      <c r="D23" s="12"/>
      <c r="E23" s="12"/>
      <c r="F23" s="12"/>
      <c r="G23" s="12"/>
      <c r="H23" s="12"/>
      <c r="I23" s="12"/>
      <c r="J23" s="12"/>
      <c r="K23" s="12"/>
      <c r="L23" s="12"/>
      <c r="M23" s="12"/>
      <c r="N23" s="12"/>
      <c r="O23" s="12"/>
      <c r="P23" s="12"/>
      <c r="Q23" s="12"/>
      <c r="R23" s="12"/>
      <c r="S23" s="12"/>
      <c r="T23" s="12"/>
    </row>
    <row r="24" spans="1:20" x14ac:dyDescent="0.35">
      <c r="A24" s="12"/>
      <c r="B24" s="12"/>
      <c r="C24" s="12"/>
      <c r="D24" s="12"/>
      <c r="E24" s="12"/>
      <c r="F24" s="12"/>
      <c r="G24" s="12"/>
      <c r="H24" s="12"/>
      <c r="I24" s="12"/>
      <c r="J24" s="12"/>
      <c r="K24" s="12"/>
      <c r="L24" s="12"/>
      <c r="M24" s="12"/>
      <c r="N24" s="12"/>
      <c r="O24" s="12"/>
      <c r="P24" s="12"/>
      <c r="Q24" s="12"/>
      <c r="R24" s="12"/>
      <c r="S24" s="12"/>
      <c r="T24" s="12"/>
    </row>
    <row r="25" spans="1:20" x14ac:dyDescent="0.35">
      <c r="A25" s="12"/>
      <c r="B25" s="12"/>
      <c r="C25" s="12"/>
      <c r="D25" s="12"/>
      <c r="E25" s="12"/>
      <c r="F25" s="12"/>
      <c r="G25" s="12"/>
      <c r="H25" s="12"/>
      <c r="I25" s="12"/>
      <c r="J25" s="12"/>
      <c r="K25" s="12"/>
      <c r="L25" s="12"/>
      <c r="M25" s="12"/>
      <c r="N25" s="12"/>
      <c r="O25" s="12"/>
      <c r="P25" s="12"/>
      <c r="Q25" s="12"/>
      <c r="R25" s="12"/>
      <c r="S25" s="12"/>
      <c r="T25" s="12"/>
    </row>
    <row r="26" spans="1:20" x14ac:dyDescent="0.35">
      <c r="A26" s="12"/>
      <c r="B26" s="12"/>
      <c r="C26" s="12"/>
      <c r="D26" s="12"/>
      <c r="E26" s="12"/>
      <c r="F26" s="12"/>
      <c r="G26" s="12"/>
      <c r="H26" s="12"/>
      <c r="I26" s="12"/>
      <c r="J26" s="12"/>
      <c r="K26" s="12"/>
      <c r="L26" s="12"/>
      <c r="M26" s="12"/>
      <c r="N26" s="12"/>
      <c r="O26" s="12"/>
      <c r="P26" s="12"/>
      <c r="Q26" s="12"/>
      <c r="R26" s="12"/>
      <c r="S26" s="12"/>
      <c r="T26" s="12"/>
    </row>
    <row r="27" spans="1:20" x14ac:dyDescent="0.35">
      <c r="A27" s="12"/>
      <c r="B27" s="12"/>
      <c r="C27" s="12"/>
      <c r="D27" s="12"/>
      <c r="E27" s="12"/>
      <c r="F27" s="12"/>
      <c r="G27" s="12"/>
      <c r="H27" s="12"/>
      <c r="I27" s="12"/>
      <c r="J27" s="12"/>
      <c r="K27" s="12"/>
      <c r="L27" s="12"/>
      <c r="M27" s="12"/>
      <c r="N27" s="12"/>
      <c r="O27" s="12"/>
      <c r="P27" s="12"/>
      <c r="Q27" s="12"/>
      <c r="R27" s="12"/>
      <c r="S27" s="12"/>
      <c r="T27" s="12"/>
    </row>
    <row r="28" spans="1:20" x14ac:dyDescent="0.35">
      <c r="A28" s="12"/>
      <c r="B28" s="12"/>
      <c r="C28" s="12"/>
      <c r="D28" s="12"/>
      <c r="E28" s="12"/>
      <c r="F28" s="12"/>
      <c r="G28" s="12"/>
      <c r="H28" s="12"/>
      <c r="I28" s="12"/>
      <c r="J28" s="12"/>
      <c r="K28" s="12"/>
      <c r="L28" s="12"/>
      <c r="M28" s="12"/>
      <c r="N28" s="12"/>
      <c r="O28" s="12"/>
      <c r="P28" s="12"/>
      <c r="Q28" s="12"/>
      <c r="R28" s="12"/>
      <c r="S28" s="12"/>
      <c r="T28" s="12"/>
    </row>
    <row r="29" spans="1:20" x14ac:dyDescent="0.35">
      <c r="A29" s="12"/>
      <c r="B29" s="12"/>
      <c r="C29" s="12"/>
      <c r="D29" s="12"/>
      <c r="E29" s="12"/>
      <c r="F29" s="12"/>
      <c r="G29" s="12"/>
      <c r="H29" s="12"/>
      <c r="I29" s="12"/>
      <c r="J29" s="12"/>
      <c r="K29" s="12"/>
      <c r="L29" s="12"/>
      <c r="M29" s="12"/>
      <c r="N29" s="12"/>
      <c r="O29" s="12"/>
      <c r="P29" s="12"/>
      <c r="Q29" s="12"/>
      <c r="R29" s="12"/>
      <c r="S29" s="12"/>
      <c r="T29" s="12"/>
    </row>
    <row r="30" spans="1:20" x14ac:dyDescent="0.35">
      <c r="A30" s="12"/>
      <c r="B30" s="12"/>
      <c r="C30" s="12"/>
      <c r="D30" s="12"/>
      <c r="E30" s="12"/>
      <c r="F30" s="12"/>
      <c r="G30" s="12"/>
      <c r="H30" s="12"/>
      <c r="I30" s="12"/>
      <c r="J30" s="12"/>
      <c r="K30" s="12"/>
      <c r="L30" s="12"/>
      <c r="M30" s="12"/>
      <c r="N30" s="12"/>
      <c r="O30" s="12"/>
      <c r="P30" s="12"/>
      <c r="Q30" s="12"/>
      <c r="R30" s="12"/>
      <c r="S30" s="12"/>
      <c r="T30" s="12"/>
    </row>
    <row r="31" spans="1:20" x14ac:dyDescent="0.35">
      <c r="A31" s="12"/>
      <c r="B31" s="12"/>
      <c r="C31" s="12"/>
      <c r="D31" s="12"/>
      <c r="E31" s="12"/>
      <c r="F31" s="12"/>
      <c r="G31" s="12"/>
      <c r="H31" s="12"/>
      <c r="I31" s="12"/>
      <c r="J31" s="12"/>
      <c r="K31" s="12"/>
      <c r="L31" s="12"/>
      <c r="M31" s="12"/>
      <c r="N31" s="12"/>
      <c r="O31" s="12"/>
      <c r="P31" s="12"/>
      <c r="Q31" s="12"/>
      <c r="R31" s="12"/>
      <c r="S31" s="12"/>
      <c r="T31" s="12"/>
    </row>
    <row r="32" spans="1:20" x14ac:dyDescent="0.35">
      <c r="A32" s="12"/>
      <c r="B32" s="12"/>
      <c r="C32" s="12"/>
      <c r="D32" s="12"/>
      <c r="E32" s="12"/>
      <c r="F32" s="12"/>
      <c r="G32" s="12"/>
      <c r="H32" s="12"/>
      <c r="I32" s="12"/>
      <c r="J32" s="12"/>
      <c r="K32" s="12"/>
      <c r="L32" s="12"/>
      <c r="M32" s="12"/>
      <c r="N32" s="12"/>
      <c r="O32" s="12"/>
      <c r="P32" s="12"/>
      <c r="Q32" s="12"/>
      <c r="R32" s="12"/>
      <c r="S32" s="12"/>
      <c r="T32" s="12"/>
    </row>
    <row r="33" spans="1:20" x14ac:dyDescent="0.35">
      <c r="A33" s="12"/>
      <c r="B33" s="12"/>
      <c r="C33" s="12"/>
      <c r="D33" s="12"/>
      <c r="E33" s="12"/>
      <c r="F33" s="12"/>
      <c r="G33" s="12"/>
      <c r="H33" s="12"/>
      <c r="I33" s="12"/>
      <c r="J33" s="12"/>
      <c r="K33" s="12"/>
      <c r="L33" s="12"/>
      <c r="M33" s="12"/>
      <c r="N33" s="12"/>
      <c r="O33" s="12"/>
      <c r="P33" s="12"/>
      <c r="Q33" s="12"/>
      <c r="R33" s="12"/>
      <c r="S33" s="12"/>
      <c r="T33" s="12"/>
    </row>
    <row r="34" spans="1:20" x14ac:dyDescent="0.35">
      <c r="A34" s="12"/>
      <c r="B34" s="12"/>
      <c r="C34" s="12"/>
      <c r="D34" s="12"/>
      <c r="E34" s="12"/>
      <c r="F34" s="12"/>
      <c r="G34" s="12"/>
      <c r="H34" s="12"/>
      <c r="I34" s="12"/>
      <c r="J34" s="12"/>
      <c r="K34" s="12"/>
      <c r="L34" s="12"/>
      <c r="M34" s="12"/>
      <c r="N34" s="12"/>
      <c r="O34" s="12"/>
      <c r="P34" s="12"/>
      <c r="Q34" s="12"/>
      <c r="R34" s="12"/>
      <c r="S34" s="12"/>
      <c r="T34" s="12"/>
    </row>
    <row r="35" spans="1:20" x14ac:dyDescent="0.35">
      <c r="A35" s="12"/>
      <c r="B35" s="12"/>
      <c r="C35" s="12"/>
      <c r="D35" s="12"/>
      <c r="E35" s="12"/>
      <c r="F35" s="12"/>
      <c r="G35" s="12"/>
      <c r="H35" s="12"/>
      <c r="I35" s="12"/>
      <c r="J35" s="12"/>
      <c r="K35" s="12"/>
      <c r="L35" s="12"/>
      <c r="M35" s="12"/>
      <c r="N35" s="12"/>
      <c r="O35" s="12"/>
      <c r="P35" s="12"/>
      <c r="Q35" s="12"/>
      <c r="R35" s="12"/>
      <c r="S35" s="12"/>
      <c r="T35" s="12"/>
    </row>
    <row r="36" spans="1:20" x14ac:dyDescent="0.35">
      <c r="A36" s="12"/>
      <c r="B36" s="12"/>
      <c r="C36" s="12"/>
      <c r="D36" s="12"/>
      <c r="E36" s="12"/>
      <c r="F36" s="12"/>
      <c r="G36" s="12"/>
      <c r="H36" s="12"/>
      <c r="I36" s="12"/>
      <c r="J36" s="12"/>
      <c r="K36" s="12"/>
      <c r="L36" s="12"/>
      <c r="M36" s="12"/>
      <c r="N36" s="12"/>
      <c r="O36" s="12"/>
      <c r="P36" s="12"/>
      <c r="Q36" s="12"/>
      <c r="R36" s="12"/>
      <c r="S36" s="12"/>
      <c r="T36" s="12"/>
    </row>
    <row r="37" spans="1:20" x14ac:dyDescent="0.35">
      <c r="A37" s="12"/>
      <c r="B37" s="12"/>
      <c r="C37" s="12"/>
      <c r="D37" s="12"/>
      <c r="E37" s="12"/>
      <c r="F37" s="12"/>
      <c r="G37" s="12"/>
      <c r="H37" s="12"/>
      <c r="I37" s="12"/>
      <c r="J37" s="12"/>
      <c r="K37" s="12"/>
      <c r="L37" s="12"/>
      <c r="M37" s="12"/>
      <c r="N37" s="12"/>
      <c r="O37" s="12"/>
      <c r="P37" s="12"/>
      <c r="Q37" s="12"/>
      <c r="R37" s="12"/>
      <c r="S37" s="12"/>
      <c r="T37" s="12"/>
    </row>
    <row r="38" spans="1:20" x14ac:dyDescent="0.35">
      <c r="A38" s="12"/>
      <c r="B38" s="12"/>
      <c r="C38" s="12"/>
      <c r="D38" s="12"/>
      <c r="E38" s="12"/>
      <c r="F38" s="12"/>
      <c r="G38" s="12"/>
      <c r="H38" s="12"/>
      <c r="I38" s="12"/>
      <c r="J38" s="12"/>
      <c r="K38" s="12"/>
      <c r="L38" s="12"/>
      <c r="M38" s="12"/>
      <c r="N38" s="12"/>
      <c r="O38" s="12"/>
      <c r="P38" s="12"/>
      <c r="Q38" s="12"/>
      <c r="R38" s="12"/>
      <c r="S38" s="12"/>
      <c r="T38" s="12"/>
    </row>
    <row r="39" spans="1:20" x14ac:dyDescent="0.35">
      <c r="A39" s="12"/>
      <c r="B39" s="12"/>
      <c r="C39" s="12"/>
      <c r="D39" s="12"/>
      <c r="E39" s="12"/>
      <c r="F39" s="12"/>
      <c r="G39" s="12"/>
      <c r="H39" s="12"/>
      <c r="I39" s="12"/>
      <c r="J39" s="12"/>
      <c r="K39" s="12"/>
      <c r="L39" s="12"/>
      <c r="M39" s="12"/>
      <c r="N39" s="12"/>
      <c r="O39" s="12"/>
      <c r="P39" s="12"/>
      <c r="Q39" s="12"/>
      <c r="R39" s="12"/>
      <c r="S39" s="12"/>
      <c r="T39" s="12"/>
    </row>
    <row r="40" spans="1:20" x14ac:dyDescent="0.35">
      <c r="A40" s="12"/>
      <c r="B40" s="12"/>
      <c r="C40" s="12"/>
      <c r="D40" s="12"/>
      <c r="E40" s="12"/>
      <c r="F40" s="12"/>
      <c r="G40" s="12"/>
      <c r="H40" s="12"/>
      <c r="I40" s="12"/>
      <c r="J40" s="12"/>
      <c r="K40" s="12"/>
      <c r="L40" s="12"/>
      <c r="M40" s="12"/>
      <c r="N40" s="12"/>
      <c r="O40" s="12"/>
      <c r="P40" s="12"/>
      <c r="Q40" s="12"/>
      <c r="R40" s="12"/>
      <c r="S40" s="12"/>
      <c r="T40" s="12"/>
    </row>
    <row r="41" spans="1:20" x14ac:dyDescent="0.35">
      <c r="A41" s="12"/>
      <c r="B41" s="12"/>
      <c r="C41" s="12"/>
      <c r="D41" s="12"/>
      <c r="E41" s="12"/>
      <c r="F41" s="12"/>
      <c r="G41" s="12"/>
      <c r="H41" s="12"/>
      <c r="I41" s="12"/>
      <c r="J41" s="12"/>
      <c r="K41" s="12"/>
      <c r="L41" s="12"/>
      <c r="M41" s="12"/>
      <c r="N41" s="12"/>
      <c r="O41" s="12"/>
      <c r="P41" s="12"/>
      <c r="Q41" s="12"/>
      <c r="R41" s="12"/>
      <c r="S41" s="12"/>
      <c r="T41" s="12"/>
    </row>
    <row r="42" spans="1:20" x14ac:dyDescent="0.35">
      <c r="A42" s="12"/>
      <c r="B42" s="12"/>
      <c r="C42" s="12"/>
      <c r="D42" s="12"/>
      <c r="E42" s="12"/>
      <c r="F42" s="12"/>
      <c r="G42" s="12"/>
      <c r="H42" s="12"/>
      <c r="I42" s="12"/>
      <c r="J42" s="12"/>
      <c r="K42" s="12"/>
      <c r="L42" s="12"/>
      <c r="M42" s="12"/>
      <c r="N42" s="12"/>
      <c r="O42" s="12"/>
      <c r="P42" s="12"/>
      <c r="Q42" s="12"/>
      <c r="R42" s="12"/>
      <c r="S42" s="12"/>
      <c r="T42" s="12"/>
    </row>
    <row r="43" spans="1:20" x14ac:dyDescent="0.35">
      <c r="A43" s="12"/>
      <c r="B43" s="12"/>
      <c r="C43" s="12"/>
      <c r="D43" s="12"/>
      <c r="E43" s="12"/>
      <c r="F43" s="12"/>
      <c r="G43" s="12"/>
      <c r="H43" s="12"/>
      <c r="I43" s="12"/>
      <c r="J43" s="12"/>
      <c r="K43" s="12"/>
      <c r="L43" s="12"/>
      <c r="M43" s="12"/>
      <c r="N43" s="12"/>
      <c r="O43" s="12"/>
      <c r="P43" s="12"/>
      <c r="Q43" s="12"/>
      <c r="R43" s="12"/>
      <c r="S43" s="12"/>
      <c r="T43" s="12"/>
    </row>
    <row r="44" spans="1:20" x14ac:dyDescent="0.35">
      <c r="A44" s="12"/>
      <c r="B44" s="12"/>
      <c r="C44" s="12"/>
      <c r="D44" s="12"/>
      <c r="E44" s="12"/>
      <c r="F44" s="12"/>
      <c r="G44" s="12"/>
      <c r="H44" s="12"/>
      <c r="I44" s="12"/>
      <c r="J44" s="12"/>
      <c r="K44" s="12"/>
      <c r="L44" s="12"/>
      <c r="M44" s="12"/>
      <c r="N44" s="12"/>
      <c r="O44" s="12"/>
      <c r="P44" s="12"/>
      <c r="Q44" s="12"/>
      <c r="R44" s="12"/>
      <c r="S44" s="12"/>
      <c r="T44" s="12"/>
    </row>
    <row r="45" spans="1:20" x14ac:dyDescent="0.35">
      <c r="A45" s="12"/>
      <c r="B45" s="12"/>
      <c r="C45" s="12"/>
      <c r="D45" s="12"/>
      <c r="E45" s="12"/>
      <c r="F45" s="12"/>
      <c r="G45" s="12"/>
      <c r="H45" s="12"/>
      <c r="I45" s="12"/>
      <c r="J45" s="12"/>
      <c r="K45" s="12"/>
      <c r="L45" s="12"/>
      <c r="M45" s="12"/>
      <c r="N45" s="12"/>
      <c r="O45" s="12"/>
      <c r="P45" s="12"/>
      <c r="Q45" s="12"/>
      <c r="R45" s="12"/>
      <c r="S45" s="12"/>
      <c r="T45" s="12"/>
    </row>
    <row r="46" spans="1:20" x14ac:dyDescent="0.35">
      <c r="A46" s="12"/>
      <c r="B46" s="12"/>
      <c r="C46" s="12"/>
      <c r="D46" s="12"/>
      <c r="E46" s="12"/>
      <c r="F46" s="12"/>
      <c r="G46" s="12"/>
      <c r="H46" s="12"/>
      <c r="I46" s="12"/>
      <c r="J46" s="12"/>
      <c r="K46" s="12"/>
      <c r="L46" s="12"/>
      <c r="M46" s="12"/>
      <c r="N46" s="12"/>
      <c r="O46" s="12"/>
      <c r="P46" s="12"/>
      <c r="Q46" s="12"/>
      <c r="R46" s="12"/>
      <c r="S46" s="12"/>
      <c r="T46" s="12"/>
    </row>
    <row r="47" spans="1:20" x14ac:dyDescent="0.35">
      <c r="A47" s="12"/>
      <c r="B47" s="12"/>
      <c r="C47" s="12"/>
      <c r="D47" s="12"/>
      <c r="E47" s="12"/>
      <c r="F47" s="12"/>
      <c r="G47" s="12"/>
      <c r="H47" s="12"/>
      <c r="I47" s="12"/>
      <c r="J47" s="12"/>
      <c r="K47" s="12"/>
      <c r="L47" s="12"/>
      <c r="M47" s="12"/>
      <c r="N47" s="12"/>
      <c r="O47" s="12"/>
      <c r="P47" s="12"/>
      <c r="Q47" s="12"/>
      <c r="R47" s="12"/>
      <c r="S47" s="12"/>
      <c r="T47" s="12"/>
    </row>
    <row r="48" spans="1:20" x14ac:dyDescent="0.35">
      <c r="A48" s="12"/>
      <c r="B48" s="12"/>
      <c r="C48" s="12"/>
      <c r="D48" s="12"/>
      <c r="E48" s="12"/>
      <c r="F48" s="12"/>
      <c r="G48" s="12"/>
      <c r="H48" s="12"/>
      <c r="I48" s="12"/>
      <c r="J48" s="12"/>
      <c r="K48" s="12"/>
      <c r="L48" s="12"/>
      <c r="M48" s="12"/>
      <c r="N48" s="12"/>
      <c r="O48" s="12"/>
      <c r="P48" s="12"/>
      <c r="Q48" s="12"/>
      <c r="R48" s="12"/>
      <c r="S48" s="12"/>
      <c r="T48" s="12"/>
    </row>
    <row r="49" spans="1:20" x14ac:dyDescent="0.35">
      <c r="A49" s="12"/>
      <c r="B49" s="12"/>
      <c r="C49" s="12"/>
      <c r="D49" s="12"/>
      <c r="E49" s="12"/>
      <c r="F49" s="12"/>
      <c r="G49" s="12"/>
      <c r="H49" s="12"/>
      <c r="I49" s="12"/>
      <c r="J49" s="12"/>
      <c r="K49" s="12"/>
      <c r="L49" s="12"/>
      <c r="M49" s="12"/>
      <c r="N49" s="12"/>
      <c r="O49" s="12"/>
      <c r="P49" s="12"/>
      <c r="Q49" s="12"/>
      <c r="R49" s="12"/>
      <c r="S49" s="12"/>
      <c r="T49" s="12"/>
    </row>
    <row r="50" spans="1:20" x14ac:dyDescent="0.35">
      <c r="A50" s="12"/>
      <c r="B50" s="12"/>
      <c r="C50" s="12"/>
      <c r="D50" s="12"/>
      <c r="E50" s="12"/>
      <c r="F50" s="12"/>
      <c r="G50" s="12"/>
      <c r="H50" s="12"/>
      <c r="I50" s="12"/>
      <c r="J50" s="12"/>
      <c r="K50" s="12"/>
      <c r="L50" s="12"/>
      <c r="M50" s="12"/>
      <c r="N50" s="12"/>
      <c r="O50" s="12"/>
      <c r="P50" s="12"/>
      <c r="Q50" s="12"/>
      <c r="R50" s="12"/>
      <c r="S50" s="12"/>
      <c r="T50" s="12"/>
    </row>
    <row r="51" spans="1:20" x14ac:dyDescent="0.35">
      <c r="A51" s="12"/>
      <c r="B51" s="12"/>
      <c r="C51" s="12"/>
      <c r="D51" s="12"/>
      <c r="E51" s="12"/>
      <c r="F51" s="12"/>
      <c r="G51" s="12"/>
      <c r="H51" s="12"/>
      <c r="I51" s="12"/>
      <c r="J51" s="12"/>
      <c r="K51" s="12"/>
      <c r="L51" s="12"/>
      <c r="M51" s="12"/>
      <c r="N51" s="12"/>
      <c r="O51" s="12"/>
      <c r="P51" s="12"/>
      <c r="Q51" s="12"/>
      <c r="R51" s="12"/>
      <c r="S51" s="12"/>
      <c r="T51" s="12"/>
    </row>
    <row r="52" spans="1:20" x14ac:dyDescent="0.35">
      <c r="A52" s="12"/>
      <c r="B52" s="12"/>
      <c r="C52" s="12"/>
      <c r="D52" s="12"/>
      <c r="E52" s="12"/>
      <c r="F52" s="12"/>
      <c r="G52" s="12"/>
      <c r="H52" s="12"/>
      <c r="I52" s="12"/>
      <c r="J52" s="12"/>
      <c r="K52" s="12"/>
      <c r="L52" s="12"/>
      <c r="M52" s="12"/>
      <c r="N52" s="12"/>
      <c r="O52" s="12"/>
      <c r="P52" s="12"/>
      <c r="Q52" s="12"/>
      <c r="R52" s="12"/>
      <c r="S52" s="12"/>
      <c r="T52" s="12"/>
    </row>
    <row r="53" spans="1:20" x14ac:dyDescent="0.35">
      <c r="A53" s="12"/>
      <c r="B53" s="12"/>
      <c r="C53" s="12"/>
      <c r="D53" s="12"/>
      <c r="E53" s="12"/>
      <c r="F53" s="12"/>
      <c r="G53" s="12"/>
      <c r="H53" s="12"/>
      <c r="I53" s="12"/>
      <c r="J53" s="12"/>
      <c r="K53" s="12"/>
      <c r="L53" s="12"/>
      <c r="M53" s="12"/>
      <c r="N53" s="12"/>
      <c r="O53" s="12"/>
      <c r="P53" s="12"/>
      <c r="Q53" s="12"/>
      <c r="R53" s="12"/>
      <c r="S53" s="12"/>
      <c r="T53" s="12"/>
    </row>
    <row r="54" spans="1:20" x14ac:dyDescent="0.35">
      <c r="A54" s="12"/>
      <c r="B54" s="12"/>
      <c r="C54" s="12"/>
      <c r="D54" s="12"/>
      <c r="E54" s="12"/>
      <c r="F54" s="12"/>
      <c r="G54" s="12"/>
      <c r="H54" s="12"/>
      <c r="I54" s="12"/>
      <c r="J54" s="12"/>
      <c r="K54" s="12"/>
      <c r="L54" s="12"/>
      <c r="M54" s="12"/>
      <c r="N54" s="12"/>
      <c r="O54" s="12"/>
      <c r="P54" s="12"/>
      <c r="Q54" s="12"/>
      <c r="R54" s="12"/>
      <c r="S54" s="12"/>
      <c r="T54" s="12"/>
    </row>
    <row r="55" spans="1:20" x14ac:dyDescent="0.35">
      <c r="A55" s="12"/>
      <c r="B55" s="12"/>
      <c r="C55" s="12"/>
      <c r="D55" s="12"/>
      <c r="E55" s="12"/>
      <c r="F55" s="12"/>
      <c r="G55" s="12"/>
      <c r="H55" s="12"/>
      <c r="I55" s="12"/>
      <c r="J55" s="12"/>
      <c r="K55" s="12"/>
      <c r="L55" s="12"/>
      <c r="M55" s="12"/>
      <c r="N55" s="12"/>
      <c r="O55" s="12"/>
      <c r="P55" s="12"/>
      <c r="Q55" s="12"/>
      <c r="R55" s="12"/>
      <c r="S55" s="12"/>
      <c r="T55" s="12"/>
    </row>
    <row r="56" spans="1:20" x14ac:dyDescent="0.35">
      <c r="A56" s="12"/>
      <c r="B56" s="12"/>
      <c r="C56" s="12"/>
      <c r="D56" s="12"/>
      <c r="E56" s="12"/>
      <c r="F56" s="12"/>
      <c r="G56" s="12"/>
      <c r="H56" s="12"/>
      <c r="I56" s="12"/>
      <c r="J56" s="12"/>
      <c r="K56" s="12"/>
      <c r="L56" s="12"/>
      <c r="M56" s="12"/>
      <c r="N56" s="12"/>
      <c r="O56" s="12"/>
      <c r="P56" s="12"/>
      <c r="Q56" s="12"/>
      <c r="R56" s="12"/>
      <c r="S56" s="12"/>
      <c r="T56" s="12"/>
    </row>
    <row r="57" spans="1:20" x14ac:dyDescent="0.35">
      <c r="A57" s="12"/>
      <c r="B57" s="12"/>
      <c r="C57" s="12"/>
      <c r="D57" s="12"/>
      <c r="E57" s="12"/>
      <c r="F57" s="12"/>
      <c r="G57" s="12"/>
      <c r="H57" s="12"/>
      <c r="I57" s="12"/>
      <c r="J57" s="12"/>
      <c r="K57" s="12"/>
      <c r="L57" s="12"/>
      <c r="M57" s="12"/>
      <c r="N57" s="12"/>
      <c r="O57" s="12"/>
      <c r="P57" s="12"/>
      <c r="Q57" s="12"/>
      <c r="R57" s="12"/>
      <c r="S57" s="12"/>
      <c r="T57" s="12"/>
    </row>
    <row r="58" spans="1:20" x14ac:dyDescent="0.35">
      <c r="A58" s="12"/>
      <c r="B58" s="12"/>
      <c r="C58" s="12"/>
      <c r="D58" s="12"/>
      <c r="E58" s="12"/>
      <c r="F58" s="12"/>
      <c r="G58" s="12"/>
      <c r="H58" s="12"/>
      <c r="I58" s="12"/>
      <c r="J58" s="12"/>
      <c r="K58" s="12"/>
      <c r="L58" s="12"/>
      <c r="M58" s="12"/>
      <c r="N58" s="12"/>
      <c r="O58" s="12"/>
      <c r="P58" s="12"/>
      <c r="Q58" s="12"/>
      <c r="R58" s="12"/>
      <c r="S58" s="12"/>
      <c r="T58" s="12"/>
    </row>
    <row r="59" spans="1:20" x14ac:dyDescent="0.35">
      <c r="A59" s="12"/>
      <c r="B59" s="12"/>
      <c r="C59" s="12"/>
      <c r="D59" s="12"/>
      <c r="E59" s="12"/>
      <c r="F59" s="12"/>
      <c r="G59" s="12"/>
      <c r="H59" s="12"/>
      <c r="I59" s="12"/>
      <c r="J59" s="12"/>
      <c r="K59" s="12"/>
      <c r="L59" s="12"/>
      <c r="M59" s="12"/>
      <c r="N59" s="12"/>
      <c r="O59" s="12"/>
      <c r="P59" s="12"/>
      <c r="Q59" s="12"/>
      <c r="R59" s="12"/>
      <c r="S59" s="12"/>
      <c r="T59" s="12"/>
    </row>
    <row r="60" spans="1:20" x14ac:dyDescent="0.35">
      <c r="A60" s="12"/>
      <c r="B60" s="12"/>
      <c r="C60" s="12"/>
      <c r="D60" s="12"/>
      <c r="E60" s="12"/>
      <c r="F60" s="12"/>
      <c r="G60" s="12"/>
      <c r="H60" s="12"/>
      <c r="I60" s="12"/>
      <c r="J60" s="12"/>
      <c r="K60" s="12"/>
      <c r="L60" s="12"/>
      <c r="M60" s="12"/>
      <c r="N60" s="12"/>
      <c r="O60" s="12"/>
      <c r="P60" s="12"/>
      <c r="Q60" s="12"/>
      <c r="R60" s="12"/>
      <c r="S60" s="12"/>
      <c r="T60"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Messy Financial Data</vt:lpstr>
      <vt:lpstr>Cleaned Data</vt:lpstr>
      <vt:lpstr>Dashboard 2 Data</vt:lpstr>
      <vt:lpstr>Pivot Sheet</vt:lpstr>
      <vt:lpstr>Financial Performance </vt:lpstr>
      <vt:lpstr>Product &amp; Profitability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omodolapo okeowo</cp:lastModifiedBy>
  <dcterms:created xsi:type="dcterms:W3CDTF">2026-08-16T22:15:19Z</dcterms:created>
  <dcterms:modified xsi:type="dcterms:W3CDTF">2026-10-14T16:09:02Z</dcterms:modified>
</cp:coreProperties>
</file>